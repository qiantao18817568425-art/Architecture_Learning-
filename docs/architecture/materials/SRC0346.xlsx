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2" sheetId="2" r:id="rId1"/>
    <sheet name="Sheet3" sheetId="3" r:id="rId2"/>
  </sheets>
  <externalReferences>
    <externalReference r:id="rId3"/>
  </externalReferences>
  <calcPr calcId="144525"/>
</workbook>
</file>

<file path=xl/sharedStrings.xml><?xml version="1.0" encoding="utf-8"?>
<sst xmlns="http://schemas.openxmlformats.org/spreadsheetml/2006/main" count="9" uniqueCount="9">
  <si>
    <t>备注：</t>
  </si>
  <si>
    <t>CSI</t>
  </si>
  <si>
    <t>DSI</t>
  </si>
  <si>
    <t>D_GND</t>
  </si>
  <si>
    <t>VBAT</t>
  </si>
  <si>
    <t>DP</t>
  </si>
  <si>
    <t>SIM</t>
  </si>
  <si>
    <t>SD</t>
  </si>
  <si>
    <t>PCIE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</si>
</sst>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CEB9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7" borderId="13" applyNumberFormat="0" applyAlignment="0" applyProtection="0">
      <alignment vertical="center"/>
    </xf>
    <xf numFmtId="0" fontId="13" fillId="18" borderId="14" applyNumberFormat="0" applyAlignment="0" applyProtection="0">
      <alignment vertical="center"/>
    </xf>
    <xf numFmtId="0" fontId="14" fillId="18" borderId="13" applyNumberFormat="0" applyAlignment="0" applyProtection="0">
      <alignment vertical="center"/>
    </xf>
    <xf numFmtId="0" fontId="15" fillId="19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14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bgColor theme="5" tint="0.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7" tint="-0.25"/>
        </patternFill>
      </fill>
    </dxf>
    <dxf>
      <fill>
        <patternFill patternType="solid">
          <bgColor rgb="FFCEB9F0"/>
        </patternFill>
      </fill>
    </dxf>
  </dxfs>
  <tableStyles count="0" defaultTableStyle="TableStyleMedium2" defaultPivotStyle="PivotStyleLight16"/>
  <colors>
    <mruColors>
      <color rgb="00CFAF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39_5G&#28938;&#30424;&#23450;&#20041;1&#65288;&#20844;&#24335;&#34920;&#26684;&#65289;202503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框架"/>
      <sheetName val="PIN list"/>
      <sheetName val="自动生成"/>
      <sheetName val="原来的"/>
    </sheetNames>
    <sheetDataSet>
      <sheetData sheetId="0">
        <row r="2">
          <cell r="C2">
            <v>528</v>
          </cell>
          <cell r="D2">
            <v>526</v>
          </cell>
          <cell r="E2">
            <v>525</v>
          </cell>
          <cell r="F2">
            <v>519</v>
          </cell>
          <cell r="G2">
            <v>518</v>
          </cell>
          <cell r="H2">
            <v>508</v>
          </cell>
          <cell r="I2">
            <v>507</v>
          </cell>
          <cell r="J2">
            <v>496</v>
          </cell>
          <cell r="K2">
            <v>495</v>
          </cell>
          <cell r="L2">
            <v>484</v>
          </cell>
          <cell r="M2">
            <v>483</v>
          </cell>
          <cell r="N2">
            <v>472</v>
          </cell>
          <cell r="O2">
            <v>471</v>
          </cell>
          <cell r="P2">
            <v>460</v>
          </cell>
          <cell r="Q2">
            <v>459</v>
          </cell>
          <cell r="R2">
            <v>448</v>
          </cell>
          <cell r="S2">
            <v>447</v>
          </cell>
          <cell r="T2">
            <v>436</v>
          </cell>
          <cell r="U2">
            <v>435</v>
          </cell>
          <cell r="V2">
            <v>424</v>
          </cell>
          <cell r="W2">
            <v>423</v>
          </cell>
          <cell r="X2">
            <v>412</v>
          </cell>
          <cell r="Y2">
            <v>411</v>
          </cell>
          <cell r="Z2">
            <v>403</v>
          </cell>
          <cell r="AA2">
            <v>402</v>
          </cell>
          <cell r="AB2">
            <v>398</v>
          </cell>
          <cell r="AC2">
            <v>397</v>
          </cell>
        </row>
        <row r="3">
          <cell r="B3">
            <v>1</v>
          </cell>
        </row>
        <row r="3">
          <cell r="D3">
            <v>527</v>
          </cell>
          <cell r="E3">
            <v>524</v>
          </cell>
          <cell r="F3">
            <v>520</v>
          </cell>
          <cell r="G3">
            <v>517</v>
          </cell>
          <cell r="H3">
            <v>509</v>
          </cell>
          <cell r="I3">
            <v>506</v>
          </cell>
          <cell r="J3">
            <v>497</v>
          </cell>
          <cell r="K3">
            <v>494</v>
          </cell>
          <cell r="L3">
            <v>485</v>
          </cell>
          <cell r="M3">
            <v>482</v>
          </cell>
          <cell r="N3">
            <v>473</v>
          </cell>
          <cell r="O3">
            <v>470</v>
          </cell>
          <cell r="P3">
            <v>461</v>
          </cell>
          <cell r="Q3">
            <v>458</v>
          </cell>
          <cell r="R3">
            <v>449</v>
          </cell>
          <cell r="S3">
            <v>446</v>
          </cell>
          <cell r="T3">
            <v>437</v>
          </cell>
          <cell r="U3">
            <v>434</v>
          </cell>
          <cell r="V3">
            <v>425</v>
          </cell>
          <cell r="W3">
            <v>422</v>
          </cell>
          <cell r="X3">
            <v>413</v>
          </cell>
          <cell r="Y3">
            <v>410</v>
          </cell>
          <cell r="Z3">
            <v>404</v>
          </cell>
          <cell r="AA3">
            <v>401</v>
          </cell>
          <cell r="AB3">
            <v>399</v>
          </cell>
        </row>
        <row r="3">
          <cell r="AD3">
            <v>396</v>
          </cell>
        </row>
        <row r="4">
          <cell r="B4">
            <v>2</v>
          </cell>
          <cell r="C4">
            <v>3</v>
          </cell>
        </row>
        <row r="4">
          <cell r="E4">
            <v>523</v>
          </cell>
          <cell r="F4">
            <v>521</v>
          </cell>
          <cell r="G4">
            <v>516</v>
          </cell>
          <cell r="H4">
            <v>510</v>
          </cell>
          <cell r="I4">
            <v>505</v>
          </cell>
          <cell r="J4">
            <v>498</v>
          </cell>
          <cell r="K4">
            <v>493</v>
          </cell>
          <cell r="L4">
            <v>486</v>
          </cell>
          <cell r="M4">
            <v>481</v>
          </cell>
          <cell r="N4">
            <v>474</v>
          </cell>
          <cell r="O4">
            <v>469</v>
          </cell>
          <cell r="P4">
            <v>462</v>
          </cell>
          <cell r="Q4">
            <v>457</v>
          </cell>
          <cell r="R4">
            <v>450</v>
          </cell>
          <cell r="S4">
            <v>445</v>
          </cell>
          <cell r="T4">
            <v>438</v>
          </cell>
          <cell r="U4">
            <v>433</v>
          </cell>
          <cell r="V4">
            <v>426</v>
          </cell>
          <cell r="W4">
            <v>421</v>
          </cell>
          <cell r="X4">
            <v>414</v>
          </cell>
          <cell r="Y4">
            <v>409</v>
          </cell>
          <cell r="Z4">
            <v>405</v>
          </cell>
          <cell r="AA4">
            <v>400</v>
          </cell>
        </row>
        <row r="4">
          <cell r="AC4">
            <v>395</v>
          </cell>
          <cell r="AD4">
            <v>394</v>
          </cell>
        </row>
        <row r="5">
          <cell r="B5">
            <v>6</v>
          </cell>
          <cell r="C5">
            <v>5</v>
          </cell>
          <cell r="D5">
            <v>4</v>
          </cell>
        </row>
        <row r="5">
          <cell r="F5">
            <v>522</v>
          </cell>
          <cell r="G5">
            <v>515</v>
          </cell>
          <cell r="H5">
            <v>511</v>
          </cell>
          <cell r="I5">
            <v>504</v>
          </cell>
          <cell r="J5">
            <v>499</v>
          </cell>
          <cell r="K5">
            <v>492</v>
          </cell>
          <cell r="L5">
            <v>487</v>
          </cell>
          <cell r="M5">
            <v>480</v>
          </cell>
          <cell r="N5">
            <v>475</v>
          </cell>
          <cell r="O5">
            <v>468</v>
          </cell>
          <cell r="P5">
            <v>463</v>
          </cell>
          <cell r="Q5">
            <v>456</v>
          </cell>
          <cell r="R5">
            <v>451</v>
          </cell>
          <cell r="S5">
            <v>444</v>
          </cell>
          <cell r="T5">
            <v>439</v>
          </cell>
          <cell r="U5">
            <v>432</v>
          </cell>
          <cell r="V5">
            <v>427</v>
          </cell>
          <cell r="W5">
            <v>420</v>
          </cell>
          <cell r="X5">
            <v>415</v>
          </cell>
          <cell r="Y5">
            <v>408</v>
          </cell>
          <cell r="Z5">
            <v>406</v>
          </cell>
        </row>
        <row r="5">
          <cell r="AB5">
            <v>391</v>
          </cell>
          <cell r="AC5">
            <v>392</v>
          </cell>
          <cell r="AD5">
            <v>393</v>
          </cell>
        </row>
        <row r="6">
          <cell r="B6">
            <v>7</v>
          </cell>
          <cell r="C6">
            <v>8</v>
          </cell>
          <cell r="D6">
            <v>9</v>
          </cell>
          <cell r="E6">
            <v>10</v>
          </cell>
        </row>
        <row r="6">
          <cell r="G6">
            <v>514</v>
          </cell>
          <cell r="H6">
            <v>512</v>
          </cell>
          <cell r="I6">
            <v>503</v>
          </cell>
          <cell r="J6">
            <v>500</v>
          </cell>
          <cell r="K6">
            <v>491</v>
          </cell>
          <cell r="L6">
            <v>488</v>
          </cell>
          <cell r="M6">
            <v>479</v>
          </cell>
          <cell r="N6">
            <v>476</v>
          </cell>
          <cell r="O6">
            <v>467</v>
          </cell>
          <cell r="P6">
            <v>464</v>
          </cell>
          <cell r="Q6">
            <v>455</v>
          </cell>
          <cell r="R6">
            <v>452</v>
          </cell>
          <cell r="S6">
            <v>443</v>
          </cell>
          <cell r="T6">
            <v>440</v>
          </cell>
          <cell r="U6">
            <v>431</v>
          </cell>
          <cell r="V6">
            <v>428</v>
          </cell>
          <cell r="W6">
            <v>419</v>
          </cell>
          <cell r="X6">
            <v>416</v>
          </cell>
          <cell r="Y6">
            <v>407</v>
          </cell>
        </row>
        <row r="6">
          <cell r="AA6">
            <v>390</v>
          </cell>
          <cell r="AB6">
            <v>389</v>
          </cell>
          <cell r="AC6">
            <v>388</v>
          </cell>
          <cell r="AD6">
            <v>387</v>
          </cell>
        </row>
        <row r="7">
          <cell r="B7">
            <v>15</v>
          </cell>
        </row>
        <row r="7">
          <cell r="D7">
            <v>13</v>
          </cell>
          <cell r="E7">
            <v>12</v>
          </cell>
          <cell r="F7">
            <v>11</v>
          </cell>
        </row>
        <row r="7">
          <cell r="H7">
            <v>513</v>
          </cell>
          <cell r="I7">
            <v>502</v>
          </cell>
          <cell r="J7">
            <v>501</v>
          </cell>
          <cell r="K7">
            <v>490</v>
          </cell>
          <cell r="L7">
            <v>489</v>
          </cell>
          <cell r="M7">
            <v>478</v>
          </cell>
          <cell r="N7">
            <v>477</v>
          </cell>
          <cell r="O7">
            <v>466</v>
          </cell>
          <cell r="P7">
            <v>465</v>
          </cell>
          <cell r="Q7">
            <v>454</v>
          </cell>
          <cell r="R7">
            <v>453</v>
          </cell>
          <cell r="S7">
            <v>442</v>
          </cell>
          <cell r="T7">
            <v>441</v>
          </cell>
          <cell r="U7">
            <v>430</v>
          </cell>
          <cell r="V7">
            <v>429</v>
          </cell>
          <cell r="W7">
            <v>418</v>
          </cell>
          <cell r="X7">
            <v>417</v>
          </cell>
        </row>
        <row r="7">
          <cell r="Z7">
            <v>382</v>
          </cell>
          <cell r="AA7">
            <v>383</v>
          </cell>
          <cell r="AB7">
            <v>384</v>
          </cell>
          <cell r="AC7">
            <v>385</v>
          </cell>
          <cell r="AD7">
            <v>386</v>
          </cell>
        </row>
        <row r="8">
          <cell r="B8">
            <v>16</v>
          </cell>
          <cell r="C8">
            <v>17</v>
          </cell>
          <cell r="D8">
            <v>18</v>
          </cell>
          <cell r="E8">
            <v>19</v>
          </cell>
          <cell r="F8">
            <v>20</v>
          </cell>
          <cell r="G8">
            <v>21</v>
          </cell>
        </row>
        <row r="8">
          <cell r="Y8">
            <v>381</v>
          </cell>
          <cell r="Z8">
            <v>380</v>
          </cell>
          <cell r="AA8">
            <v>379</v>
          </cell>
          <cell r="AB8">
            <v>378</v>
          </cell>
          <cell r="AC8">
            <v>377</v>
          </cell>
          <cell r="AD8">
            <v>376</v>
          </cell>
        </row>
        <row r="9">
          <cell r="B9">
            <v>27</v>
          </cell>
          <cell r="C9">
            <v>26</v>
          </cell>
          <cell r="D9">
            <v>25</v>
          </cell>
          <cell r="E9">
            <v>24</v>
          </cell>
          <cell r="F9">
            <v>23</v>
          </cell>
          <cell r="G9">
            <v>22</v>
          </cell>
        </row>
        <row r="9">
          <cell r="J9" t="str">
            <v>G1</v>
          </cell>
          <cell r="K9" t="str">
            <v>G2</v>
          </cell>
          <cell r="L9" t="str">
            <v>G3</v>
          </cell>
          <cell r="M9" t="str">
            <v>G4</v>
          </cell>
          <cell r="N9" t="str">
            <v>G5</v>
          </cell>
          <cell r="O9" t="str">
            <v>G6</v>
          </cell>
          <cell r="P9" t="str">
            <v>G7</v>
          </cell>
          <cell r="Q9" t="str">
            <v>G8</v>
          </cell>
          <cell r="R9" t="str">
            <v>G9</v>
          </cell>
          <cell r="S9" t="str">
            <v>G10</v>
          </cell>
          <cell r="T9" t="str">
            <v>G11</v>
          </cell>
          <cell r="U9" t="str">
            <v>G12</v>
          </cell>
          <cell r="V9" t="str">
            <v>G13</v>
          </cell>
        </row>
        <row r="9">
          <cell r="Y9">
            <v>370</v>
          </cell>
          <cell r="Z9">
            <v>371</v>
          </cell>
          <cell r="AA9">
            <v>372</v>
          </cell>
          <cell r="AB9">
            <v>373</v>
          </cell>
          <cell r="AC9">
            <v>374</v>
          </cell>
          <cell r="AD9">
            <v>375</v>
          </cell>
        </row>
        <row r="10">
          <cell r="B10">
            <v>28</v>
          </cell>
          <cell r="C10">
            <v>29</v>
          </cell>
          <cell r="D10">
            <v>30</v>
          </cell>
          <cell r="E10">
            <v>31</v>
          </cell>
          <cell r="F10">
            <v>32</v>
          </cell>
          <cell r="G10">
            <v>33</v>
          </cell>
        </row>
        <row r="10">
          <cell r="I10" t="str">
            <v>G52</v>
          </cell>
        </row>
        <row r="10">
          <cell r="W10" t="str">
            <v>G14</v>
          </cell>
        </row>
        <row r="10">
          <cell r="Y10">
            <v>369</v>
          </cell>
          <cell r="Z10">
            <v>368</v>
          </cell>
          <cell r="AA10">
            <v>367</v>
          </cell>
          <cell r="AB10">
            <v>366</v>
          </cell>
          <cell r="AC10">
            <v>365</v>
          </cell>
          <cell r="AD10">
            <v>364</v>
          </cell>
        </row>
        <row r="11">
          <cell r="B11">
            <v>39</v>
          </cell>
          <cell r="C11">
            <v>38</v>
          </cell>
          <cell r="D11">
            <v>37</v>
          </cell>
          <cell r="E11">
            <v>36</v>
          </cell>
          <cell r="F11">
            <v>35</v>
          </cell>
          <cell r="G11">
            <v>34</v>
          </cell>
        </row>
        <row r="11">
          <cell r="I11" t="str">
            <v>G51</v>
          </cell>
        </row>
        <row r="11">
          <cell r="W11" t="str">
            <v>G15</v>
          </cell>
        </row>
        <row r="11">
          <cell r="Y11">
            <v>358</v>
          </cell>
          <cell r="Z11">
            <v>359</v>
          </cell>
          <cell r="AA11">
            <v>360</v>
          </cell>
          <cell r="AB11">
            <v>361</v>
          </cell>
          <cell r="AC11">
            <v>362</v>
          </cell>
          <cell r="AD11">
            <v>363</v>
          </cell>
        </row>
        <row r="12">
          <cell r="B12">
            <v>40</v>
          </cell>
          <cell r="C12">
            <v>41</v>
          </cell>
          <cell r="D12">
            <v>42</v>
          </cell>
          <cell r="E12">
            <v>43</v>
          </cell>
          <cell r="F12">
            <v>44</v>
          </cell>
          <cell r="G12">
            <v>45</v>
          </cell>
        </row>
        <row r="12">
          <cell r="I12" t="str">
            <v>G50</v>
          </cell>
        </row>
        <row r="12">
          <cell r="W12" t="str">
            <v>G16</v>
          </cell>
        </row>
        <row r="12">
          <cell r="Y12">
            <v>357</v>
          </cell>
          <cell r="Z12">
            <v>356</v>
          </cell>
          <cell r="AA12">
            <v>355</v>
          </cell>
          <cell r="AB12">
            <v>354</v>
          </cell>
          <cell r="AC12">
            <v>353</v>
          </cell>
          <cell r="AD12">
            <v>352</v>
          </cell>
        </row>
        <row r="13">
          <cell r="B13">
            <v>51</v>
          </cell>
          <cell r="C13">
            <v>50</v>
          </cell>
          <cell r="D13">
            <v>49</v>
          </cell>
          <cell r="E13">
            <v>48</v>
          </cell>
          <cell r="F13">
            <v>47</v>
          </cell>
          <cell r="G13">
            <v>46</v>
          </cell>
        </row>
        <row r="13">
          <cell r="I13" t="str">
            <v>G49</v>
          </cell>
        </row>
        <row r="13">
          <cell r="W13" t="str">
            <v>G17</v>
          </cell>
        </row>
        <row r="13">
          <cell r="Y13">
            <v>346</v>
          </cell>
          <cell r="Z13">
            <v>347</v>
          </cell>
          <cell r="AA13">
            <v>348</v>
          </cell>
          <cell r="AB13">
            <v>349</v>
          </cell>
          <cell r="AC13">
            <v>350</v>
          </cell>
          <cell r="AD13">
            <v>351</v>
          </cell>
        </row>
        <row r="14">
          <cell r="B14">
            <v>52</v>
          </cell>
          <cell r="C14">
            <v>53</v>
          </cell>
          <cell r="D14">
            <v>54</v>
          </cell>
          <cell r="E14">
            <v>55</v>
          </cell>
          <cell r="F14">
            <v>56</v>
          </cell>
          <cell r="G14">
            <v>57</v>
          </cell>
        </row>
        <row r="14">
          <cell r="I14" t="str">
            <v>G48</v>
          </cell>
        </row>
        <row r="14">
          <cell r="W14" t="str">
            <v>G18</v>
          </cell>
        </row>
        <row r="14">
          <cell r="Y14">
            <v>345</v>
          </cell>
          <cell r="Z14">
            <v>344</v>
          </cell>
          <cell r="AA14">
            <v>343</v>
          </cell>
          <cell r="AB14">
            <v>342</v>
          </cell>
          <cell r="AC14">
            <v>341</v>
          </cell>
          <cell r="AD14">
            <v>340</v>
          </cell>
        </row>
        <row r="15">
          <cell r="B15">
            <v>63</v>
          </cell>
          <cell r="C15">
            <v>62</v>
          </cell>
          <cell r="D15">
            <v>61</v>
          </cell>
          <cell r="E15">
            <v>60</v>
          </cell>
          <cell r="F15">
            <v>59</v>
          </cell>
          <cell r="G15">
            <v>58</v>
          </cell>
        </row>
        <row r="15">
          <cell r="I15" t="str">
            <v>G47</v>
          </cell>
        </row>
        <row r="15">
          <cell r="W15" t="str">
            <v>G19</v>
          </cell>
        </row>
        <row r="15">
          <cell r="Y15">
            <v>334</v>
          </cell>
          <cell r="Z15">
            <v>335</v>
          </cell>
          <cell r="AA15">
            <v>336</v>
          </cell>
          <cell r="AB15">
            <v>337</v>
          </cell>
          <cell r="AC15">
            <v>338</v>
          </cell>
          <cell r="AD15">
            <v>339</v>
          </cell>
        </row>
        <row r="16">
          <cell r="B16">
            <v>64</v>
          </cell>
          <cell r="C16">
            <v>65</v>
          </cell>
          <cell r="D16">
            <v>66</v>
          </cell>
          <cell r="E16">
            <v>67</v>
          </cell>
          <cell r="F16">
            <v>68</v>
          </cell>
          <cell r="G16">
            <v>69</v>
          </cell>
        </row>
        <row r="16">
          <cell r="I16" t="str">
            <v>G46</v>
          </cell>
        </row>
        <row r="16">
          <cell r="W16" t="str">
            <v>G20</v>
          </cell>
        </row>
        <row r="16">
          <cell r="Y16">
            <v>333</v>
          </cell>
          <cell r="Z16">
            <v>332</v>
          </cell>
          <cell r="AA16">
            <v>331</v>
          </cell>
          <cell r="AB16">
            <v>330</v>
          </cell>
          <cell r="AC16">
            <v>329</v>
          </cell>
          <cell r="AD16">
            <v>328</v>
          </cell>
        </row>
        <row r="17">
          <cell r="B17">
            <v>75</v>
          </cell>
          <cell r="C17">
            <v>74</v>
          </cell>
          <cell r="D17">
            <v>73</v>
          </cell>
          <cell r="E17">
            <v>72</v>
          </cell>
          <cell r="F17">
            <v>71</v>
          </cell>
          <cell r="G17">
            <v>70</v>
          </cell>
        </row>
        <row r="17">
          <cell r="I17" t="str">
            <v>G45</v>
          </cell>
        </row>
        <row r="17">
          <cell r="W17" t="str">
            <v>G21</v>
          </cell>
        </row>
        <row r="17">
          <cell r="Y17">
            <v>322</v>
          </cell>
          <cell r="Z17">
            <v>323</v>
          </cell>
          <cell r="AA17">
            <v>324</v>
          </cell>
          <cell r="AB17">
            <v>325</v>
          </cell>
          <cell r="AC17">
            <v>326</v>
          </cell>
          <cell r="AD17">
            <v>327</v>
          </cell>
        </row>
        <row r="18">
          <cell r="B18">
            <v>76</v>
          </cell>
          <cell r="C18">
            <v>77</v>
          </cell>
          <cell r="D18">
            <v>78</v>
          </cell>
          <cell r="E18">
            <v>79</v>
          </cell>
          <cell r="F18">
            <v>80</v>
          </cell>
          <cell r="G18">
            <v>81</v>
          </cell>
        </row>
        <row r="18">
          <cell r="I18" t="str">
            <v>G44</v>
          </cell>
        </row>
        <row r="18">
          <cell r="W18" t="str">
            <v>G22</v>
          </cell>
        </row>
        <row r="18">
          <cell r="Y18">
            <v>321</v>
          </cell>
          <cell r="Z18">
            <v>320</v>
          </cell>
          <cell r="AA18">
            <v>319</v>
          </cell>
          <cell r="AB18">
            <v>318</v>
          </cell>
          <cell r="AC18">
            <v>317</v>
          </cell>
          <cell r="AD18">
            <v>316</v>
          </cell>
        </row>
        <row r="19">
          <cell r="B19">
            <v>87</v>
          </cell>
          <cell r="C19">
            <v>86</v>
          </cell>
          <cell r="D19">
            <v>85</v>
          </cell>
          <cell r="E19">
            <v>84</v>
          </cell>
          <cell r="F19">
            <v>83</v>
          </cell>
          <cell r="G19">
            <v>82</v>
          </cell>
        </row>
        <row r="19">
          <cell r="I19" t="str">
            <v>G43</v>
          </cell>
        </row>
        <row r="19">
          <cell r="W19" t="str">
            <v>G23</v>
          </cell>
        </row>
        <row r="19">
          <cell r="Y19">
            <v>310</v>
          </cell>
          <cell r="Z19">
            <v>311</v>
          </cell>
          <cell r="AA19">
            <v>312</v>
          </cell>
          <cell r="AB19">
            <v>313</v>
          </cell>
          <cell r="AC19">
            <v>314</v>
          </cell>
          <cell r="AD19">
            <v>315</v>
          </cell>
        </row>
        <row r="20">
          <cell r="B20">
            <v>88</v>
          </cell>
          <cell r="C20">
            <v>89</v>
          </cell>
          <cell r="D20">
            <v>90</v>
          </cell>
          <cell r="E20">
            <v>91</v>
          </cell>
          <cell r="F20">
            <v>92</v>
          </cell>
          <cell r="G20">
            <v>93</v>
          </cell>
        </row>
        <row r="20">
          <cell r="I20" t="str">
            <v>G42</v>
          </cell>
        </row>
        <row r="20">
          <cell r="W20" t="str">
            <v>G24</v>
          </cell>
        </row>
        <row r="20">
          <cell r="Y20">
            <v>309</v>
          </cell>
          <cell r="Z20">
            <v>308</v>
          </cell>
          <cell r="AA20">
            <v>307</v>
          </cell>
          <cell r="AB20">
            <v>306</v>
          </cell>
          <cell r="AC20">
            <v>305</v>
          </cell>
          <cell r="AD20">
            <v>304</v>
          </cell>
        </row>
        <row r="21">
          <cell r="B21">
            <v>99</v>
          </cell>
          <cell r="C21">
            <v>98</v>
          </cell>
          <cell r="D21">
            <v>97</v>
          </cell>
          <cell r="E21">
            <v>96</v>
          </cell>
          <cell r="F21">
            <v>95</v>
          </cell>
          <cell r="G21">
            <v>94</v>
          </cell>
        </row>
        <row r="21">
          <cell r="I21" t="str">
            <v>G41</v>
          </cell>
        </row>
        <row r="21">
          <cell r="W21" t="str">
            <v>G25</v>
          </cell>
        </row>
        <row r="21">
          <cell r="Y21">
            <v>298</v>
          </cell>
          <cell r="Z21">
            <v>299</v>
          </cell>
          <cell r="AA21">
            <v>300</v>
          </cell>
          <cell r="AB21">
            <v>301</v>
          </cell>
          <cell r="AC21">
            <v>302</v>
          </cell>
          <cell r="AD21">
            <v>303</v>
          </cell>
        </row>
        <row r="22">
          <cell r="B22">
            <v>100</v>
          </cell>
          <cell r="C22">
            <v>101</v>
          </cell>
          <cell r="D22">
            <v>102</v>
          </cell>
          <cell r="E22">
            <v>103</v>
          </cell>
          <cell r="F22">
            <v>104</v>
          </cell>
          <cell r="G22">
            <v>105</v>
          </cell>
        </row>
        <row r="22">
          <cell r="I22" t="str">
            <v>G40</v>
          </cell>
        </row>
        <row r="22">
          <cell r="W22" t="str">
            <v>G26</v>
          </cell>
        </row>
        <row r="22">
          <cell r="Y22">
            <v>297</v>
          </cell>
          <cell r="Z22">
            <v>296</v>
          </cell>
          <cell r="AA22">
            <v>295</v>
          </cell>
          <cell r="AB22">
            <v>294</v>
          </cell>
          <cell r="AC22">
            <v>293</v>
          </cell>
          <cell r="AD22">
            <v>292</v>
          </cell>
        </row>
        <row r="23">
          <cell r="B23">
            <v>111</v>
          </cell>
          <cell r="C23">
            <v>110</v>
          </cell>
          <cell r="D23">
            <v>109</v>
          </cell>
          <cell r="E23">
            <v>108</v>
          </cell>
          <cell r="F23">
            <v>107</v>
          </cell>
          <cell r="G23">
            <v>106</v>
          </cell>
        </row>
        <row r="23">
          <cell r="J23" t="str">
            <v>G39</v>
          </cell>
          <cell r="K23" t="str">
            <v>G38</v>
          </cell>
          <cell r="L23" t="str">
            <v>G37</v>
          </cell>
          <cell r="M23" t="str">
            <v>G36</v>
          </cell>
          <cell r="N23" t="str">
            <v>G35</v>
          </cell>
          <cell r="O23" t="str">
            <v>G34</v>
          </cell>
          <cell r="P23" t="str">
            <v>G33</v>
          </cell>
          <cell r="Q23" t="str">
            <v>G32</v>
          </cell>
          <cell r="R23" t="str">
            <v>G31</v>
          </cell>
          <cell r="S23" t="str">
            <v>G30</v>
          </cell>
          <cell r="T23" t="str">
            <v>G29</v>
          </cell>
          <cell r="U23" t="str">
            <v>G28</v>
          </cell>
          <cell r="V23" t="str">
            <v>G27</v>
          </cell>
        </row>
        <row r="23">
          <cell r="Y23">
            <v>286</v>
          </cell>
          <cell r="Z23">
            <v>287</v>
          </cell>
          <cell r="AA23">
            <v>288</v>
          </cell>
          <cell r="AB23">
            <v>289</v>
          </cell>
          <cell r="AC23">
            <v>290</v>
          </cell>
          <cell r="AD23">
            <v>291</v>
          </cell>
        </row>
        <row r="24">
          <cell r="B24">
            <v>112</v>
          </cell>
          <cell r="C24">
            <v>113</v>
          </cell>
          <cell r="D24">
            <v>114</v>
          </cell>
          <cell r="E24">
            <v>115</v>
          </cell>
          <cell r="F24">
            <v>116</v>
          </cell>
          <cell r="G24">
            <v>117</v>
          </cell>
        </row>
        <row r="24">
          <cell r="Y24">
            <v>285</v>
          </cell>
          <cell r="Z24">
            <v>284</v>
          </cell>
          <cell r="AA24">
            <v>283</v>
          </cell>
          <cell r="AB24">
            <v>282</v>
          </cell>
          <cell r="AC24">
            <v>281</v>
          </cell>
          <cell r="AD24">
            <v>280</v>
          </cell>
        </row>
        <row r="25">
          <cell r="B25">
            <v>122</v>
          </cell>
          <cell r="C25">
            <v>121</v>
          </cell>
          <cell r="D25">
            <v>120</v>
          </cell>
          <cell r="E25">
            <v>119</v>
          </cell>
          <cell r="F25">
            <v>118</v>
          </cell>
        </row>
        <row r="25">
          <cell r="H25">
            <v>153</v>
          </cell>
          <cell r="I25">
            <v>154</v>
          </cell>
          <cell r="J25">
            <v>165</v>
          </cell>
          <cell r="K25">
            <v>166</v>
          </cell>
          <cell r="L25">
            <v>177</v>
          </cell>
          <cell r="M25">
            <v>178</v>
          </cell>
          <cell r="N25">
            <v>189</v>
          </cell>
          <cell r="O25">
            <v>190</v>
          </cell>
          <cell r="P25">
            <v>201</v>
          </cell>
          <cell r="Q25">
            <v>202</v>
          </cell>
          <cell r="R25">
            <v>213</v>
          </cell>
          <cell r="S25">
            <v>214</v>
          </cell>
          <cell r="T25">
            <v>225</v>
          </cell>
          <cell r="U25">
            <v>226</v>
          </cell>
          <cell r="V25">
            <v>237</v>
          </cell>
          <cell r="W25">
            <v>238</v>
          </cell>
          <cell r="X25">
            <v>249</v>
          </cell>
        </row>
        <row r="25">
          <cell r="Z25">
            <v>275</v>
          </cell>
          <cell r="AA25">
            <v>276</v>
          </cell>
          <cell r="AB25">
            <v>277</v>
          </cell>
          <cell r="AC25">
            <v>278</v>
          </cell>
          <cell r="AD25">
            <v>279</v>
          </cell>
        </row>
        <row r="26">
          <cell r="B26">
            <v>123</v>
          </cell>
          <cell r="C26">
            <v>124</v>
          </cell>
          <cell r="D26">
            <v>125</v>
          </cell>
          <cell r="E26">
            <v>126</v>
          </cell>
        </row>
        <row r="26">
          <cell r="G26">
            <v>143</v>
          </cell>
          <cell r="H26">
            <v>152</v>
          </cell>
          <cell r="I26">
            <v>155</v>
          </cell>
          <cell r="J26">
            <v>164</v>
          </cell>
          <cell r="K26">
            <v>167</v>
          </cell>
          <cell r="L26">
            <v>176</v>
          </cell>
          <cell r="M26">
            <v>179</v>
          </cell>
          <cell r="N26">
            <v>188</v>
          </cell>
          <cell r="O26">
            <v>191</v>
          </cell>
          <cell r="P26">
            <v>200</v>
          </cell>
          <cell r="Q26">
            <v>203</v>
          </cell>
          <cell r="R26">
            <v>212</v>
          </cell>
          <cell r="S26">
            <v>215</v>
          </cell>
          <cell r="T26">
            <v>224</v>
          </cell>
          <cell r="U26">
            <v>227</v>
          </cell>
          <cell r="V26">
            <v>236</v>
          </cell>
          <cell r="W26">
            <v>239</v>
          </cell>
          <cell r="X26">
            <v>248</v>
          </cell>
          <cell r="Y26">
            <v>250</v>
          </cell>
        </row>
        <row r="26">
          <cell r="AA26">
            <v>274</v>
          </cell>
          <cell r="AB26">
            <v>273</v>
          </cell>
          <cell r="AC26">
            <v>272</v>
          </cell>
          <cell r="AD26">
            <v>271</v>
          </cell>
        </row>
        <row r="27">
          <cell r="B27">
            <v>129</v>
          </cell>
          <cell r="C27">
            <v>128</v>
          </cell>
          <cell r="D27">
            <v>127</v>
          </cell>
        </row>
        <row r="27">
          <cell r="F27">
            <v>142</v>
          </cell>
          <cell r="G27">
            <v>144</v>
          </cell>
          <cell r="H27">
            <v>151</v>
          </cell>
          <cell r="I27">
            <v>156</v>
          </cell>
          <cell r="J27">
            <v>163</v>
          </cell>
          <cell r="K27">
            <v>168</v>
          </cell>
          <cell r="L27">
            <v>175</v>
          </cell>
          <cell r="M27">
            <v>180</v>
          </cell>
          <cell r="N27">
            <v>187</v>
          </cell>
          <cell r="O27">
            <v>192</v>
          </cell>
          <cell r="P27">
            <v>199</v>
          </cell>
          <cell r="Q27">
            <v>204</v>
          </cell>
          <cell r="R27">
            <v>211</v>
          </cell>
          <cell r="S27">
            <v>216</v>
          </cell>
          <cell r="T27">
            <v>223</v>
          </cell>
          <cell r="U27">
            <v>228</v>
          </cell>
          <cell r="V27">
            <v>235</v>
          </cell>
          <cell r="W27">
            <v>240</v>
          </cell>
          <cell r="X27">
            <v>247</v>
          </cell>
          <cell r="Y27">
            <v>251</v>
          </cell>
          <cell r="Z27">
            <v>258</v>
          </cell>
        </row>
        <row r="27">
          <cell r="AB27">
            <v>268</v>
          </cell>
          <cell r="AC27">
            <v>269</v>
          </cell>
          <cell r="AD27">
            <v>270</v>
          </cell>
        </row>
        <row r="28">
          <cell r="B28">
            <v>130</v>
          </cell>
          <cell r="C28">
            <v>131</v>
          </cell>
        </row>
        <row r="28">
          <cell r="E28">
            <v>136</v>
          </cell>
          <cell r="F28">
            <v>141</v>
          </cell>
          <cell r="G28">
            <v>145</v>
          </cell>
          <cell r="H28">
            <v>150</v>
          </cell>
          <cell r="I28">
            <v>157</v>
          </cell>
          <cell r="J28">
            <v>162</v>
          </cell>
          <cell r="K28">
            <v>169</v>
          </cell>
          <cell r="L28">
            <v>174</v>
          </cell>
          <cell r="M28">
            <v>181</v>
          </cell>
          <cell r="N28">
            <v>186</v>
          </cell>
          <cell r="O28">
            <v>193</v>
          </cell>
          <cell r="P28">
            <v>198</v>
          </cell>
          <cell r="Q28">
            <v>205</v>
          </cell>
          <cell r="R28">
            <v>210</v>
          </cell>
          <cell r="S28">
            <v>217</v>
          </cell>
          <cell r="T28">
            <v>222</v>
          </cell>
          <cell r="U28">
            <v>229</v>
          </cell>
          <cell r="V28">
            <v>234</v>
          </cell>
          <cell r="W28">
            <v>241</v>
          </cell>
          <cell r="X28">
            <v>246</v>
          </cell>
          <cell r="Y28">
            <v>252</v>
          </cell>
          <cell r="Z28">
            <v>257</v>
          </cell>
          <cell r="AA28">
            <v>259</v>
          </cell>
        </row>
        <row r="28">
          <cell r="AC28">
            <v>267</v>
          </cell>
          <cell r="AD28">
            <v>266</v>
          </cell>
        </row>
        <row r="29">
          <cell r="B29">
            <v>132</v>
          </cell>
        </row>
        <row r="29">
          <cell r="D29">
            <v>135</v>
          </cell>
          <cell r="E29">
            <v>137</v>
          </cell>
          <cell r="F29">
            <v>140</v>
          </cell>
          <cell r="G29">
            <v>146</v>
          </cell>
          <cell r="H29">
            <v>149</v>
          </cell>
          <cell r="I29">
            <v>158</v>
          </cell>
          <cell r="J29">
            <v>161</v>
          </cell>
          <cell r="K29">
            <v>170</v>
          </cell>
          <cell r="L29">
            <v>173</v>
          </cell>
          <cell r="M29">
            <v>182</v>
          </cell>
          <cell r="N29">
            <v>185</v>
          </cell>
          <cell r="O29">
            <v>194</v>
          </cell>
          <cell r="P29">
            <v>197</v>
          </cell>
          <cell r="Q29">
            <v>206</v>
          </cell>
          <cell r="R29">
            <v>209</v>
          </cell>
          <cell r="S29">
            <v>218</v>
          </cell>
          <cell r="T29">
            <v>221</v>
          </cell>
          <cell r="U29">
            <v>230</v>
          </cell>
          <cell r="V29">
            <v>233</v>
          </cell>
          <cell r="W29">
            <v>242</v>
          </cell>
          <cell r="X29">
            <v>245</v>
          </cell>
          <cell r="Y29">
            <v>253</v>
          </cell>
          <cell r="Z29">
            <v>256</v>
          </cell>
          <cell r="AA29">
            <v>260</v>
          </cell>
          <cell r="AB29">
            <v>263</v>
          </cell>
        </row>
        <row r="29">
          <cell r="AD29">
            <v>265</v>
          </cell>
        </row>
        <row r="30">
          <cell r="C30">
            <v>133</v>
          </cell>
          <cell r="D30">
            <v>134</v>
          </cell>
          <cell r="E30">
            <v>138</v>
          </cell>
          <cell r="F30">
            <v>139</v>
          </cell>
          <cell r="G30">
            <v>147</v>
          </cell>
          <cell r="H30">
            <v>148</v>
          </cell>
          <cell r="I30">
            <v>159</v>
          </cell>
          <cell r="J30">
            <v>160</v>
          </cell>
          <cell r="K30">
            <v>171</v>
          </cell>
          <cell r="L30">
            <v>172</v>
          </cell>
          <cell r="M30">
            <v>183</v>
          </cell>
          <cell r="N30">
            <v>184</v>
          </cell>
          <cell r="O30">
            <v>195</v>
          </cell>
          <cell r="P30">
            <v>196</v>
          </cell>
          <cell r="Q30">
            <v>207</v>
          </cell>
          <cell r="R30">
            <v>208</v>
          </cell>
          <cell r="S30">
            <v>219</v>
          </cell>
          <cell r="T30">
            <v>220</v>
          </cell>
          <cell r="U30">
            <v>231</v>
          </cell>
          <cell r="V30">
            <v>232</v>
          </cell>
          <cell r="W30">
            <v>243</v>
          </cell>
          <cell r="X30">
            <v>244</v>
          </cell>
          <cell r="Y30">
            <v>254</v>
          </cell>
          <cell r="Z30">
            <v>255</v>
          </cell>
          <cell r="AA30">
            <v>261</v>
          </cell>
          <cell r="AB30">
            <v>262</v>
          </cell>
          <cell r="AC30">
            <v>264</v>
          </cell>
        </row>
      </sheetData>
      <sheetData sheetId="1">
        <row r="4">
          <cell r="B4" t="str">
            <v>模块PIN</v>
          </cell>
          <cell r="C4" t="str">
            <v>模块定义</v>
          </cell>
          <cell r="D4" t="str">
            <v>描述&amp;备注</v>
          </cell>
          <cell r="E4" t="str">
            <v>类型</v>
          </cell>
        </row>
        <row r="5">
          <cell r="B5">
            <v>1</v>
          </cell>
          <cell r="C5" t="str">
            <v>D_GND</v>
          </cell>
        </row>
        <row r="5">
          <cell r="E5" t="str">
            <v>D_GND</v>
          </cell>
        </row>
        <row r="6">
          <cell r="B6">
            <v>2</v>
          </cell>
          <cell r="C6" t="str">
            <v>CSI2B_RDN1</v>
          </cell>
          <cell r="D6" t="str">
            <v>MIPI CSI2B的DATA1-N</v>
          </cell>
          <cell r="E6" t="str">
            <v>CSI</v>
          </cell>
        </row>
        <row r="7">
          <cell r="B7">
            <v>3</v>
          </cell>
          <cell r="C7" t="str">
            <v>CSI2B_RDP1</v>
          </cell>
          <cell r="D7" t="str">
            <v>MIPI CSI2B的DATA1-P</v>
          </cell>
          <cell r="E7" t="str">
            <v>CSI</v>
          </cell>
        </row>
        <row r="8">
          <cell r="B8">
            <v>4</v>
          </cell>
          <cell r="C8" t="str">
            <v>D_GND</v>
          </cell>
        </row>
        <row r="8">
          <cell r="E8" t="str">
            <v>D_GND</v>
          </cell>
        </row>
        <row r="9">
          <cell r="B9">
            <v>5</v>
          </cell>
          <cell r="C9" t="str">
            <v>CSI2A_RCP</v>
          </cell>
          <cell r="D9" t="str">
            <v>MIPI CSI2A的CLK-P</v>
          </cell>
          <cell r="E9" t="str">
            <v>CSI</v>
          </cell>
        </row>
        <row r="10">
          <cell r="B10">
            <v>6</v>
          </cell>
          <cell r="C10" t="str">
            <v>CSI2A_RCN</v>
          </cell>
          <cell r="D10" t="str">
            <v>MIPI CSI2A的CLK-N</v>
          </cell>
          <cell r="E10" t="str">
            <v>CSI</v>
          </cell>
        </row>
        <row r="11">
          <cell r="B11">
            <v>7</v>
          </cell>
          <cell r="C11" t="str">
            <v>CSI2A_RDN2</v>
          </cell>
          <cell r="D11" t="str">
            <v>MIPI CSI2A的DATA2-N</v>
          </cell>
          <cell r="E11" t="str">
            <v>CSI</v>
          </cell>
        </row>
        <row r="12">
          <cell r="B12">
            <v>8</v>
          </cell>
          <cell r="C12" t="str">
            <v>CSI2A_RDP2</v>
          </cell>
          <cell r="D12" t="str">
            <v>MIPI CSI2A的DATA2-P</v>
          </cell>
          <cell r="E12" t="str">
            <v>CSI</v>
          </cell>
        </row>
        <row r="13">
          <cell r="B13">
            <v>9</v>
          </cell>
          <cell r="C13" t="str">
            <v>D_GND</v>
          </cell>
        </row>
        <row r="13">
          <cell r="E13" t="str">
            <v>D_GND</v>
          </cell>
        </row>
        <row r="14">
          <cell r="B14">
            <v>10</v>
          </cell>
          <cell r="C14" t="str">
            <v>D_GND</v>
          </cell>
        </row>
        <row r="14">
          <cell r="E14" t="str">
            <v>D_GND</v>
          </cell>
        </row>
        <row r="15">
          <cell r="B15">
            <v>11</v>
          </cell>
          <cell r="C15" t="str">
            <v>D_GND</v>
          </cell>
        </row>
        <row r="15">
          <cell r="E15" t="str">
            <v>D_GND</v>
          </cell>
        </row>
        <row r="16">
          <cell r="B16">
            <v>12</v>
          </cell>
          <cell r="C16" t="str">
            <v>D_GND</v>
          </cell>
        </row>
        <row r="16">
          <cell r="E16" t="str">
            <v>D_GND</v>
          </cell>
        </row>
        <row r="17">
          <cell r="B17">
            <v>13</v>
          </cell>
          <cell r="C17" t="str">
            <v>VIO18_PMU</v>
          </cell>
          <cell r="D17" t="str">
            <v>系统IO电平1.8V供电输出,300MA</v>
          </cell>
        </row>
        <row r="18">
          <cell r="B18">
            <v>14</v>
          </cell>
          <cell r="C18" t="str">
            <v>CSI2A_RDP0</v>
          </cell>
          <cell r="D18" t="str">
            <v>MIPI CSI2A的DATA0-P</v>
          </cell>
          <cell r="E18" t="str">
            <v>CSI</v>
          </cell>
        </row>
        <row r="19">
          <cell r="B19">
            <v>15</v>
          </cell>
          <cell r="C19" t="str">
            <v>CSI2A_RDN0</v>
          </cell>
          <cell r="D19" t="str">
            <v>MIPI CSI2A的DATA0-N</v>
          </cell>
          <cell r="E19" t="str">
            <v>CSI</v>
          </cell>
        </row>
        <row r="20">
          <cell r="B20">
            <v>16</v>
          </cell>
          <cell r="C20" t="str">
            <v>CSI2B_RDN3</v>
          </cell>
          <cell r="D20" t="str">
            <v>MIPI CSI2B的DATA3-N</v>
          </cell>
          <cell r="E20" t="str">
            <v>CSI</v>
          </cell>
        </row>
        <row r="21">
          <cell r="B21">
            <v>17</v>
          </cell>
          <cell r="C21" t="str">
            <v>CSI2B_RDP3</v>
          </cell>
          <cell r="D21" t="str">
            <v>MIPI CSI2B的DATA3-P</v>
          </cell>
          <cell r="E21" t="str">
            <v>CSI</v>
          </cell>
        </row>
        <row r="22">
          <cell r="B22">
            <v>18</v>
          </cell>
          <cell r="C22" t="str">
            <v>GPIO117_URXD2</v>
          </cell>
          <cell r="D22" t="str">
            <v>MT8646 UART2_RX,用于与外设数据通讯;GPIO117,EINT117;可以复用成其它Func,请参考MT8646_GPIO_Application_Spec表格</v>
          </cell>
        </row>
        <row r="23">
          <cell r="B23">
            <v>19</v>
          </cell>
          <cell r="C23" t="str">
            <v>GPIO121_UTXD2</v>
          </cell>
          <cell r="D23" t="str">
            <v>MT8646 UART2_TX,用于与外设数据通讯;GPIO121,EINT121;可以复用成其它Func,请参考MT8646_GPIO_Application_Spec表格</v>
          </cell>
        </row>
        <row r="24">
          <cell r="B24">
            <v>20</v>
          </cell>
          <cell r="C24" t="str">
            <v>SCL9</v>
          </cell>
          <cell r="D24" t="str">
            <v>I2C9的SCL,I3C9的SCL,可以复用成其它Func,请参考  MT8646_GPIO_Application_Spec表格</v>
          </cell>
        </row>
        <row r="25">
          <cell r="B25">
            <v>21</v>
          </cell>
          <cell r="C25" t="str">
            <v>D_GND</v>
          </cell>
        </row>
        <row r="25">
          <cell r="E25" t="str">
            <v>D_GND</v>
          </cell>
        </row>
        <row r="26">
          <cell r="B26">
            <v>22</v>
          </cell>
          <cell r="C26" t="str">
            <v>D_GND</v>
          </cell>
        </row>
        <row r="26">
          <cell r="E26" t="str">
            <v>D_GND</v>
          </cell>
        </row>
        <row r="27">
          <cell r="B27">
            <v>23</v>
          </cell>
          <cell r="C27" t="str">
            <v>SDA9</v>
          </cell>
          <cell r="D27" t="str">
            <v>I2C9的SDA,I3C9的SDA,可以复用成其它Func,请参考  MT8646_GPIO_Application_Spec表格</v>
          </cell>
        </row>
        <row r="28">
          <cell r="B28">
            <v>24</v>
          </cell>
          <cell r="C28" t="str">
            <v>GPIO129</v>
          </cell>
          <cell r="D28" t="str">
            <v>GPIO129,此IO口只能做GPIO功能,不能做中断功能;可以复用成其它Func,请参考MT8646_GPIO_Application_Spec表格</v>
          </cell>
        </row>
        <row r="29">
          <cell r="B29">
            <v>25</v>
          </cell>
          <cell r="C29" t="str">
            <v>GPIO125_CAM_CLK2</v>
          </cell>
          <cell r="D29" t="str">
            <v>默认配置是CAM_CLK2,若要复用成GPIO125请注意修改软件配置，此IO口不能做中断功能；可以复用成其它Func,请参考MT8646_GPIO_Application_Spec表格</v>
          </cell>
        </row>
        <row r="30">
          <cell r="B30">
            <v>26</v>
          </cell>
          <cell r="C30" t="str">
            <v>D_GND</v>
          </cell>
        </row>
        <row r="30">
          <cell r="E30" t="str">
            <v>D_GND</v>
          </cell>
        </row>
        <row r="31">
          <cell r="B31">
            <v>27</v>
          </cell>
          <cell r="C31" t="str">
            <v>D_GND</v>
          </cell>
        </row>
        <row r="31">
          <cell r="E31" t="str">
            <v>D_GND</v>
          </cell>
        </row>
        <row r="32">
          <cell r="B32">
            <v>28</v>
          </cell>
          <cell r="C32" t="str">
            <v>CSI1A_RDP2</v>
          </cell>
          <cell r="D32" t="str">
            <v>MIPI CSI1A的DATA2-P</v>
          </cell>
          <cell r="E32" t="str">
            <v>CSI</v>
          </cell>
        </row>
        <row r="33">
          <cell r="B33">
            <v>29</v>
          </cell>
          <cell r="C33" t="str">
            <v>CSI1A_RDN2</v>
          </cell>
          <cell r="D33" t="str">
            <v>MIPI CSI1A的DATA2-N</v>
          </cell>
          <cell r="E33" t="str">
            <v>CSI</v>
          </cell>
        </row>
        <row r="34">
          <cell r="B34">
            <v>30</v>
          </cell>
          <cell r="C34" t="str">
            <v>SCL12</v>
          </cell>
          <cell r="D34" t="str">
            <v>I2C12的SCL,可以复用成其它Func,请参考  MT8646_GPIO_Application_Spec表格</v>
          </cell>
        </row>
        <row r="35">
          <cell r="B35">
            <v>31</v>
          </cell>
          <cell r="C35" t="str">
            <v>SCL8</v>
          </cell>
          <cell r="D35" t="str">
            <v>I2C8的SCL,I3C8的SCL,可以复用成其它Func,请参考  MT8646_GPIO_Application_Spec表格</v>
          </cell>
        </row>
        <row r="36">
          <cell r="B36">
            <v>32</v>
          </cell>
          <cell r="C36" t="str">
            <v>GPIO126_CAM_CLK3</v>
          </cell>
          <cell r="D36" t="str">
            <v>默认配置是CAM_CLK3,若要复用成GPIO126请注意修改软件,此IO口只能做GPIO功能,不能做中断功能;可以复用成其它Func,请参考MT8646_GPIO_Application_Spec表格</v>
          </cell>
        </row>
        <row r="37">
          <cell r="B37">
            <v>33</v>
          </cell>
          <cell r="C37" t="str">
            <v>GPIO130</v>
          </cell>
          <cell r="D37" t="str">
            <v>GPIO130,此IO口只能做GPIO功能,不能做中断功能;可以复用成其它Func,请参考MT8646_GPIO_Application_Spec表格</v>
          </cell>
        </row>
        <row r="38">
          <cell r="B38">
            <v>34</v>
          </cell>
          <cell r="C38" t="str">
            <v>GPIO118_CAM_RST3</v>
          </cell>
          <cell r="D38" t="str">
            <v>CAM_RST3;GPIO118,EINT118;可以复用成其它Func,请参考MT8646_GPIO_Application_Spec表格</v>
          </cell>
        </row>
        <row r="39">
          <cell r="B39">
            <v>35</v>
          </cell>
          <cell r="C39" t="str">
            <v>GPIO35_AP_GOOD</v>
          </cell>
          <cell r="D39" t="str">
            <v>GPIO35,EINT35,AP_GOOD;可以复用成其它Func,请参考MT8646_GPIO_Application_Spec表格</v>
          </cell>
        </row>
        <row r="40">
          <cell r="B40">
            <v>36</v>
          </cell>
          <cell r="C40" t="str">
            <v>SDA8</v>
          </cell>
          <cell r="D40" t="str">
            <v>I2C8的SDA,I3C8的SDA,可以复用成其它Func,请参考MT8646_GPIO_Application_Spec表格</v>
          </cell>
        </row>
        <row r="41">
          <cell r="B41">
            <v>37</v>
          </cell>
          <cell r="C41" t="str">
            <v>SDA12</v>
          </cell>
          <cell r="D41" t="str">
            <v>I2C12的SDA,可以复用成其它Func,请参考  MT8646_GPIO_Application_Spec表格</v>
          </cell>
        </row>
        <row r="42">
          <cell r="B42">
            <v>38</v>
          </cell>
          <cell r="C42" t="str">
            <v>CSI1A_RDN0</v>
          </cell>
          <cell r="D42" t="str">
            <v>MIPI CSI1A的DATA0-N</v>
          </cell>
          <cell r="E42" t="str">
            <v>CSI</v>
          </cell>
        </row>
        <row r="43">
          <cell r="B43">
            <v>39</v>
          </cell>
          <cell r="C43" t="str">
            <v>CSI1A_RDP0</v>
          </cell>
          <cell r="D43" t="str">
            <v>MIPI CSI1A的DATA0-P</v>
          </cell>
          <cell r="E43" t="str">
            <v>CSI</v>
          </cell>
        </row>
        <row r="44">
          <cell r="B44">
            <v>40</v>
          </cell>
          <cell r="C44" t="str">
            <v>CSI1A_RCP</v>
          </cell>
          <cell r="D44" t="str">
            <v>MIPI CSI1A的CLK-P</v>
          </cell>
          <cell r="E44" t="str">
            <v>CSI</v>
          </cell>
        </row>
        <row r="45">
          <cell r="B45">
            <v>41</v>
          </cell>
          <cell r="C45" t="str">
            <v>CSI1A_RCN</v>
          </cell>
          <cell r="D45" t="str">
            <v>MIPI CSI1A的CLK-N</v>
          </cell>
          <cell r="E45" t="str">
            <v>CSI</v>
          </cell>
        </row>
        <row r="46">
          <cell r="B46">
            <v>42</v>
          </cell>
          <cell r="C46" t="str">
            <v>SCL13</v>
          </cell>
          <cell r="D46" t="str">
            <v>I2C13的SCL,可以复用成其它Func,请参考  MT8646_GPIO_Application_Spec表格</v>
          </cell>
        </row>
        <row r="47">
          <cell r="B47">
            <v>43</v>
          </cell>
          <cell r="C47" t="str">
            <v>SDA13</v>
          </cell>
          <cell r="D47" t="str">
            <v>I2C13的SDA,可以复用成其它Func,请参考  MT8646_GPIO_Application_Spec表格</v>
          </cell>
        </row>
        <row r="48">
          <cell r="B48">
            <v>44</v>
          </cell>
          <cell r="C48" t="str">
            <v>SDA1</v>
          </cell>
          <cell r="D48" t="str">
            <v>I2C1的SDA,I3C1的SDA,可以复用成其它Func,请参考MT8646_GPIO_Application_Spec表格</v>
          </cell>
        </row>
        <row r="49">
          <cell r="B49">
            <v>45</v>
          </cell>
          <cell r="C49" t="str">
            <v>GPIO122</v>
          </cell>
          <cell r="D49" t="str">
            <v>GPIO122,EINT122;可以复用成其它Func,请参考MT8646_GPIO_Application_Spec表格</v>
          </cell>
        </row>
        <row r="50">
          <cell r="B50">
            <v>46</v>
          </cell>
          <cell r="C50" t="str">
            <v>D_GND</v>
          </cell>
        </row>
        <row r="50">
          <cell r="E50" t="str">
            <v>D_GND</v>
          </cell>
        </row>
        <row r="51">
          <cell r="B51">
            <v>47</v>
          </cell>
          <cell r="C51" t="str">
            <v>SCL1</v>
          </cell>
          <cell r="D51" t="str">
            <v>I2C1的SCL,I3C1的SCL,可以复用成其它Func,请参考MT8646_GPIO_Application_Spec表格</v>
          </cell>
        </row>
        <row r="52">
          <cell r="B52">
            <v>48</v>
          </cell>
          <cell r="C52" t="str">
            <v>D_GND</v>
          </cell>
        </row>
        <row r="52">
          <cell r="E52" t="str">
            <v>D_GND</v>
          </cell>
        </row>
        <row r="53">
          <cell r="B53">
            <v>49</v>
          </cell>
          <cell r="C53" t="str">
            <v>GPIO104_TDM_LRCK</v>
          </cell>
          <cell r="D53" t="str">
            <v>GPIO104,EINT104,TDM_LRCK;可以复用成其它Func,请参考MT8646_GPIO_Application_Spec表格</v>
          </cell>
        </row>
        <row r="54">
          <cell r="B54">
            <v>50</v>
          </cell>
          <cell r="C54" t="str">
            <v>CSI1B_RDN1</v>
          </cell>
          <cell r="D54" t="str">
            <v>MIPI CSI1B的DATA1-N</v>
          </cell>
          <cell r="E54" t="str">
            <v>CSI</v>
          </cell>
        </row>
        <row r="55">
          <cell r="B55">
            <v>51</v>
          </cell>
          <cell r="C55" t="str">
            <v>CSI1B_RDP1</v>
          </cell>
          <cell r="D55" t="str">
            <v>MIPI CSI1B的DATA1-P</v>
          </cell>
          <cell r="E55" t="str">
            <v>CSI</v>
          </cell>
        </row>
        <row r="56">
          <cell r="B56">
            <v>52</v>
          </cell>
          <cell r="C56" t="str">
            <v>CSI1B_RDP3</v>
          </cell>
          <cell r="D56" t="str">
            <v>MIPI CSI1B的DATA3-P</v>
          </cell>
          <cell r="E56" t="str">
            <v>CSI</v>
          </cell>
        </row>
        <row r="57">
          <cell r="B57">
            <v>53</v>
          </cell>
          <cell r="C57" t="str">
            <v>CSI1B_RDN3</v>
          </cell>
          <cell r="D57" t="str">
            <v>MIPI CSI1B的DATA3-N</v>
          </cell>
          <cell r="E57" t="str">
            <v>CSI</v>
          </cell>
        </row>
        <row r="58">
          <cell r="B58">
            <v>54</v>
          </cell>
          <cell r="C58" t="str">
            <v>GPIO100_TDMIN_DATA0</v>
          </cell>
          <cell r="D58" t="str">
            <v>GPIO100,EINT100,TDMIN_DATA0;可以复用成其它Func,请参考MT8646_GPIO_Application_Spec表格</v>
          </cell>
        </row>
        <row r="59">
          <cell r="B59">
            <v>55</v>
          </cell>
          <cell r="C59" t="str">
            <v>GPIO95_TDMOUT_DATA0</v>
          </cell>
          <cell r="D59" t="str">
            <v>GPIO95,EINT95,TDMOUT_DATA0;可以复用成其它Func,请参考MT8646_GPIO_Application_Spec表格</v>
          </cell>
        </row>
        <row r="60">
          <cell r="B60">
            <v>56</v>
          </cell>
          <cell r="C60" t="str">
            <v>GPIO34_KPROW1</v>
          </cell>
          <cell r="D60" t="str">
            <v>KPROW1,GPIO34,EINT34;可以复用成其它Func,请参考MT8646_GPIO_Application_Spec表格</v>
          </cell>
        </row>
        <row r="61">
          <cell r="B61">
            <v>57</v>
          </cell>
          <cell r="C61" t="str">
            <v>GPIO31_KPCOL1</v>
          </cell>
          <cell r="D61" t="str">
            <v>KPCOL1,GPIO31,EINT31;可以复用成其它Func,请参考MT8646_GPIO_Application_Spec表格</v>
          </cell>
        </row>
        <row r="62">
          <cell r="B62">
            <v>58</v>
          </cell>
          <cell r="C62" t="str">
            <v>GPIO32_KPCOL0</v>
          </cell>
          <cell r="D62" t="str">
            <v>KPCOL0,GPIO32,EINT32;可以复用成其它Func,请参考MT8646_GPIO_Application_Spec表格</v>
          </cell>
        </row>
        <row r="63">
          <cell r="B63">
            <v>59</v>
          </cell>
          <cell r="C63" t="str">
            <v>EINT33_SD</v>
          </cell>
          <cell r="D63" t="str">
            <v>SD卡中断EINT33,SD卡检测</v>
          </cell>
        </row>
        <row r="64">
          <cell r="B64">
            <v>60</v>
          </cell>
          <cell r="C64" t="str">
            <v>D_GND</v>
          </cell>
        </row>
        <row r="64">
          <cell r="E64" t="str">
            <v>D_GND</v>
          </cell>
        </row>
        <row r="65">
          <cell r="B65">
            <v>61</v>
          </cell>
          <cell r="C65" t="str">
            <v>GPIO99_TDM_BCK</v>
          </cell>
          <cell r="D65" t="str">
            <v>GPIO99,EINT99,TDM_BCK;可以复用成其它Func,请参考MT8646_GPIO_Application_Spec表格</v>
          </cell>
        </row>
        <row r="66">
          <cell r="B66">
            <v>62</v>
          </cell>
          <cell r="C66" t="str">
            <v>D_GND</v>
          </cell>
        </row>
        <row r="66">
          <cell r="E66" t="str">
            <v>D_GND</v>
          </cell>
        </row>
        <row r="67">
          <cell r="B67">
            <v>63</v>
          </cell>
          <cell r="C67" t="str">
            <v>D_GND</v>
          </cell>
        </row>
        <row r="67">
          <cell r="E67" t="str">
            <v>D_GND</v>
          </cell>
        </row>
        <row r="68">
          <cell r="B68">
            <v>64</v>
          </cell>
          <cell r="C68" t="str">
            <v>CSI0A_RCP</v>
          </cell>
          <cell r="D68" t="str">
            <v>MIPI CSI0A的CLK-P</v>
          </cell>
          <cell r="E68" t="str">
            <v>CSI</v>
          </cell>
        </row>
        <row r="69">
          <cell r="B69">
            <v>65</v>
          </cell>
          <cell r="C69" t="str">
            <v>CSI0A_RCN</v>
          </cell>
          <cell r="D69" t="str">
            <v>MIPI CSI0A的CLK-N</v>
          </cell>
          <cell r="E69" t="str">
            <v>CSI</v>
          </cell>
        </row>
        <row r="70">
          <cell r="B70">
            <v>66</v>
          </cell>
          <cell r="C70" t="str">
            <v>BPI_D_BUS4</v>
          </cell>
          <cell r="D70" t="str">
            <v>BPI_D_BUS4,GPIO89,EINT89;可以复用成其它Func,请参考MT8646_GPIO_Application_Spec表格</v>
          </cell>
        </row>
        <row r="71">
          <cell r="B71">
            <v>67</v>
          </cell>
          <cell r="C71" t="str">
            <v>GPIO97</v>
          </cell>
          <cell r="D71" t="str">
            <v>GPIO97,EINT97;可以复用成其它Func,请参考MT8646_GPIO_Application_Spec表格</v>
          </cell>
        </row>
        <row r="72">
          <cell r="B72">
            <v>68</v>
          </cell>
          <cell r="C72" t="str">
            <v>GPIO103_LGA-DAT3</v>
          </cell>
          <cell r="D72" t="str">
            <v>备用天线切换检测脚3;GPIO103,EINT103;可以复用成其它Func,请参考MT8646_GPIO_Application_Spec表格</v>
          </cell>
        </row>
        <row r="73">
          <cell r="B73">
            <v>69</v>
          </cell>
          <cell r="C73" t="str">
            <v>GPIO102</v>
          </cell>
          <cell r="D73" t="str">
            <v>GPIO102,EINT102;可以复用成其它Func,请参考MT8646_GPIO_Application_Spec表格</v>
          </cell>
        </row>
        <row r="74">
          <cell r="B74">
            <v>70</v>
          </cell>
          <cell r="C74" t="str">
            <v>GPIO93_PWM_2</v>
          </cell>
          <cell r="D74" t="str">
            <v>GPIO93,EINT93，建议做PWM2功能;可以复用成其它Func,请参考MT8646_GPIO_Application_Spec表格</v>
          </cell>
        </row>
        <row r="75">
          <cell r="B75">
            <v>71</v>
          </cell>
          <cell r="C75" t="str">
            <v>GPIO101</v>
          </cell>
          <cell r="D75" t="str">
            <v>GPIO101,EINT101;可以复用成其它Func,请参考MT8646_GPIO_Application_Spec表格</v>
          </cell>
        </row>
        <row r="76">
          <cell r="B76">
            <v>72</v>
          </cell>
          <cell r="C76" t="str">
            <v>BPI_D_BUS2</v>
          </cell>
          <cell r="D76" t="str">
            <v>BPI_D_BUS2,GPIO87,EINT87;可以复用成其它Func,请参考MT8646_GPIO_Application_Spec表格</v>
          </cell>
        </row>
        <row r="77">
          <cell r="B77">
            <v>73</v>
          </cell>
          <cell r="C77" t="str">
            <v>GPIO98</v>
          </cell>
          <cell r="D77" t="str">
            <v>GPIO98,EINT98;可以复用成其它Func,请参考MT8646_GPIO_Application_Spec表格</v>
          </cell>
        </row>
        <row r="78">
          <cell r="B78">
            <v>74</v>
          </cell>
          <cell r="C78" t="str">
            <v>CSI0A_RDN0</v>
          </cell>
          <cell r="D78" t="str">
            <v>MIPI CSI0A的DATA0-N</v>
          </cell>
          <cell r="E78" t="str">
            <v>CSI</v>
          </cell>
        </row>
        <row r="79">
          <cell r="B79">
            <v>75</v>
          </cell>
          <cell r="C79" t="str">
            <v>CSI0A_RDP0</v>
          </cell>
          <cell r="D79" t="str">
            <v>MIPI CSI0A的DATA0-P</v>
          </cell>
          <cell r="E79" t="str">
            <v>CSI</v>
          </cell>
        </row>
        <row r="80">
          <cell r="B80">
            <v>76</v>
          </cell>
          <cell r="C80" t="str">
            <v>CSI0A_RDP2</v>
          </cell>
          <cell r="D80" t="str">
            <v>MIPI CSI0A的DATA2-P</v>
          </cell>
          <cell r="E80" t="str">
            <v>CSI</v>
          </cell>
        </row>
        <row r="81">
          <cell r="B81">
            <v>77</v>
          </cell>
          <cell r="C81" t="str">
            <v>CSI0A_RDN2</v>
          </cell>
          <cell r="D81" t="str">
            <v>MIPI CSI0A的DATA2-N</v>
          </cell>
          <cell r="E81" t="str">
            <v>CSI</v>
          </cell>
        </row>
        <row r="82">
          <cell r="B82">
            <v>78</v>
          </cell>
          <cell r="C82" t="str">
            <v>URXD0</v>
          </cell>
          <cell r="D82" t="str">
            <v>MT8646 UART0_RX,用于与外设数据通讯，建议用于debug</v>
          </cell>
        </row>
        <row r="83">
          <cell r="B83">
            <v>79</v>
          </cell>
          <cell r="C83" t="str">
            <v>UTXD0</v>
          </cell>
          <cell r="D83" t="str">
            <v>MT8646 UART0_TX,用于与外设数据通讯，建议用于debug</v>
          </cell>
        </row>
        <row r="84">
          <cell r="B84">
            <v>80</v>
          </cell>
          <cell r="C84" t="str">
            <v>GPIO96</v>
          </cell>
          <cell r="D84" t="str">
            <v>GPIO96,EINT96;可以复用成其它Func,请参考MT8646_GPIO_Application_Spec表格</v>
          </cell>
        </row>
        <row r="85">
          <cell r="B85">
            <v>81</v>
          </cell>
          <cell r="C85" t="str">
            <v>BPI_D_BUS5</v>
          </cell>
          <cell r="D85" t="str">
            <v>BPI_D_BUS5,GPIO90,EINT90;可以复用成其它Func,请参考MT8646_GPIO_Application_Spec表格</v>
          </cell>
        </row>
        <row r="86">
          <cell r="B86">
            <v>82</v>
          </cell>
          <cell r="C86" t="str">
            <v>GPIO111</v>
          </cell>
          <cell r="D86" t="str">
            <v>GPIO111,EINT111;可以复用成其它Func,请参考MT8646_GPIO_Application_Spec表格</v>
          </cell>
        </row>
        <row r="87">
          <cell r="B87">
            <v>83</v>
          </cell>
          <cell r="C87" t="str">
            <v>GPIO94_PWM_3</v>
          </cell>
          <cell r="D87" t="str">
            <v>GPIO94,EINT94，建议做PWM3功能;可以复用成其它Func,请参考MT8646_GPIO_Application_Spec表格</v>
          </cell>
        </row>
        <row r="88">
          <cell r="B88">
            <v>84</v>
          </cell>
          <cell r="C88" t="str">
            <v>GPIO209_JTRST</v>
          </cell>
          <cell r="D88" t="str">
            <v>JTRST,GPIO209,此IO口不能做中断功能;可以复用成其它Func,请参考MT8646_GPIO_Application_Spec表格</v>
          </cell>
        </row>
        <row r="89">
          <cell r="B89">
            <v>85</v>
          </cell>
          <cell r="C89" t="str">
            <v>GPIO212_JTDI</v>
          </cell>
          <cell r="D89" t="str">
            <v>JTDI,GPIO212,此IO口不能做中断功能;可以复用成其它Func,请参考MT8646_GPIO_Application_Spec表格</v>
          </cell>
        </row>
        <row r="90">
          <cell r="B90">
            <v>86</v>
          </cell>
          <cell r="C90" t="str">
            <v>CSI0B_RDN1</v>
          </cell>
          <cell r="D90" t="str">
            <v>MIPI CSI0B的DATA1-N</v>
          </cell>
          <cell r="E90" t="str">
            <v>CSI</v>
          </cell>
        </row>
        <row r="91">
          <cell r="B91">
            <v>87</v>
          </cell>
          <cell r="C91" t="str">
            <v>CSI0B_RDP1</v>
          </cell>
          <cell r="D91" t="str">
            <v>MIPI CSI0B的DATA1-P</v>
          </cell>
          <cell r="E91" t="str">
            <v>CSI</v>
          </cell>
        </row>
        <row r="92">
          <cell r="B92">
            <v>88</v>
          </cell>
          <cell r="C92" t="str">
            <v>CSI0B_RDP3</v>
          </cell>
          <cell r="D92" t="str">
            <v>MIPI CSI0B的DATA3-P</v>
          </cell>
          <cell r="E92" t="str">
            <v>CSI</v>
          </cell>
        </row>
        <row r="93">
          <cell r="B93">
            <v>89</v>
          </cell>
          <cell r="C93" t="str">
            <v>CSI0B_RDN3</v>
          </cell>
          <cell r="D93" t="str">
            <v>MIPI CSI0B的DATA3-N</v>
          </cell>
          <cell r="E93" t="str">
            <v>CSI</v>
          </cell>
        </row>
        <row r="94">
          <cell r="B94">
            <v>90</v>
          </cell>
          <cell r="C94" t="str">
            <v>GPIO211_JTMS</v>
          </cell>
          <cell r="D94" t="str">
            <v>JTMS,GPIO211,此IO口不能做中断功能;可以复用成其它Func,请参考MT8646_GPIO_Application_Spec表格</v>
          </cell>
        </row>
        <row r="95">
          <cell r="B95">
            <v>91</v>
          </cell>
          <cell r="C95" t="str">
            <v>GPIO210_JTCK</v>
          </cell>
          <cell r="D95" t="str">
            <v>JTCK,GPIO210,此IO口不能做中断功能;可以复用成其它Func,请参考MT8646_GPIO_Application_Spec表格</v>
          </cell>
        </row>
        <row r="96">
          <cell r="B96">
            <v>92</v>
          </cell>
          <cell r="C96" t="str">
            <v>D_GND</v>
          </cell>
        </row>
        <row r="96">
          <cell r="E96" t="str">
            <v>D_GND</v>
          </cell>
        </row>
        <row r="97">
          <cell r="B97">
            <v>93</v>
          </cell>
          <cell r="C97" t="str">
            <v>GPIO112</v>
          </cell>
          <cell r="D97" t="str">
            <v>GPIO112,EINT112;可以复用成其它Func,请参考MT8646_GPIO_Application_Spec表格</v>
          </cell>
        </row>
        <row r="98">
          <cell r="B98">
            <v>94</v>
          </cell>
          <cell r="C98" t="str">
            <v>GPIO113</v>
          </cell>
          <cell r="D98" t="str">
            <v>GPIO113,EINT113;可以复用成其它Func,请参考MT8646_GPIO_Application_Spec表格</v>
          </cell>
        </row>
        <row r="99">
          <cell r="B99">
            <v>95</v>
          </cell>
          <cell r="C99" t="str">
            <v>GPIO107</v>
          </cell>
          <cell r="D99" t="str">
            <v>GPIO107,EINT107;可以复用成其它Func,请参考MT8646_GPIO_Application_Spec表格</v>
          </cell>
        </row>
        <row r="100">
          <cell r="B100">
            <v>96</v>
          </cell>
          <cell r="C100" t="str">
            <v>EINT6_ACC</v>
          </cell>
          <cell r="D100" t="str">
            <v>ACC通知脚,EINT6,GPIO6;可以复用成其它Func,请参考MT8646_GPIO_Application_Spec表格</v>
          </cell>
        </row>
        <row r="101">
          <cell r="B101">
            <v>97</v>
          </cell>
          <cell r="C101" t="str">
            <v>GPIO213_JTDO</v>
          </cell>
          <cell r="D101" t="str">
            <v>JTDO,GPIO213,此IO口不能做中断功能;可以复用成其它Func,请参考MT8646_GPIO_Application_Spec表格</v>
          </cell>
        </row>
        <row r="102">
          <cell r="B102">
            <v>98</v>
          </cell>
          <cell r="C102" t="str">
            <v>D_GND</v>
          </cell>
        </row>
        <row r="102">
          <cell r="E102" t="str">
            <v>D_GND</v>
          </cell>
        </row>
        <row r="103">
          <cell r="B103">
            <v>99</v>
          </cell>
          <cell r="C103" t="str">
            <v>D_GND</v>
          </cell>
        </row>
        <row r="103">
          <cell r="E103" t="str">
            <v>D_GND</v>
          </cell>
        </row>
        <row r="104">
          <cell r="B104">
            <v>100</v>
          </cell>
          <cell r="C104" t="str">
            <v>GPIO65</v>
          </cell>
          <cell r="D104" t="str">
            <v>GPIO65,EINT65;可以复用成其它Func,请参考MT8646_GPIO_Application_Spec表格</v>
          </cell>
        </row>
        <row r="105">
          <cell r="B105">
            <v>101</v>
          </cell>
          <cell r="C105" t="str">
            <v>GPIO131_DISP_PWM</v>
          </cell>
          <cell r="D105" t="str">
            <v>GPIO131,可复用成DISP_PWM,此IO口不能做中断功能</v>
          </cell>
        </row>
        <row r="106">
          <cell r="B106">
            <v>102</v>
          </cell>
          <cell r="C106" t="str">
            <v>D_GND</v>
          </cell>
        </row>
        <row r="106">
          <cell r="E106" t="str">
            <v>D_GND</v>
          </cell>
        </row>
        <row r="107">
          <cell r="B107">
            <v>103</v>
          </cell>
          <cell r="C107" t="str">
            <v>GPIO5_IDDIG</v>
          </cell>
          <cell r="D107" t="str">
            <v>IDDIG,EINT5,GPIO5;可以复用成其它Func,请参考MT8646_GPIO_Application_Spec表格</v>
          </cell>
        </row>
        <row r="108">
          <cell r="B108">
            <v>104</v>
          </cell>
          <cell r="C108" t="str">
            <v>GPIO108</v>
          </cell>
          <cell r="D108" t="str">
            <v>GPIO108,EINT108;可以复用成其它Func,请参考MT8646_GPIO_Application_Spec表格</v>
          </cell>
        </row>
        <row r="109">
          <cell r="B109">
            <v>105</v>
          </cell>
          <cell r="C109" t="str">
            <v>GPIO114</v>
          </cell>
          <cell r="D109" t="str">
            <v>GPIO114,EINT114;可以复用成其它Func,请参考MT8646_GPIO_Application_Spec表格</v>
          </cell>
        </row>
        <row r="110">
          <cell r="B110">
            <v>106</v>
          </cell>
          <cell r="C110" t="str">
            <v>GPIO105</v>
          </cell>
          <cell r="D110" t="str">
            <v>GPIO105,EINT105;可以复用成其它Func,请参考MT8646_GPIO_Application_Spec表格</v>
          </cell>
        </row>
        <row r="111">
          <cell r="B111">
            <v>107</v>
          </cell>
          <cell r="C111" t="str">
            <v>GPIO109</v>
          </cell>
          <cell r="D111" t="str">
            <v>GPIO109,EINT109;可以复用成其它Func,请参考MT8646_GPIO_Application_Spec表格</v>
          </cell>
        </row>
        <row r="112">
          <cell r="B112">
            <v>108</v>
          </cell>
          <cell r="C112" t="str">
            <v>EINT4_BACK</v>
          </cell>
          <cell r="D112" t="str">
            <v>倒车通知脚BACK,EINT4,GPIO4;可以复用成其它Func,请参考MT8646_GPIO_Application_Spec表格</v>
          </cell>
        </row>
        <row r="113">
          <cell r="B113">
            <v>109</v>
          </cell>
          <cell r="C113" t="str">
            <v>D_GND</v>
          </cell>
        </row>
        <row r="113">
          <cell r="E113" t="str">
            <v>D_GND</v>
          </cell>
        </row>
        <row r="114">
          <cell r="B114">
            <v>110</v>
          </cell>
          <cell r="C114" t="str">
            <v>SDA7</v>
          </cell>
          <cell r="D114" t="str">
            <v>I2C7的SDA,I3C7的SDA,可以复用成其它Func,请参考  MT8646_GPIO_Application_Spec表格</v>
          </cell>
        </row>
        <row r="115">
          <cell r="B115">
            <v>111</v>
          </cell>
          <cell r="C115" t="str">
            <v>GPIO62</v>
          </cell>
          <cell r="D115" t="str">
            <v>GPIO62,EINT62;可以复用成其它Func,请参考MT8646_GPIO_Application_Spec表格</v>
          </cell>
        </row>
        <row r="116">
          <cell r="B116">
            <v>112</v>
          </cell>
          <cell r="C116" t="str">
            <v>D_GND</v>
          </cell>
        </row>
        <row r="116">
          <cell r="E116" t="str">
            <v>D_GND</v>
          </cell>
        </row>
        <row r="117">
          <cell r="B117">
            <v>113</v>
          </cell>
          <cell r="C117" t="str">
            <v>SCL7</v>
          </cell>
          <cell r="D117" t="str">
            <v>I2C7的SCL,I3C7的SCL,可以复用成其它Func,请参考  MT8646_GPIO_Application_Spec表格</v>
          </cell>
        </row>
        <row r="118">
          <cell r="B118">
            <v>114</v>
          </cell>
          <cell r="C118" t="str">
            <v>D_GND</v>
          </cell>
        </row>
        <row r="118">
          <cell r="E118" t="str">
            <v>D_GND</v>
          </cell>
        </row>
        <row r="119">
          <cell r="B119">
            <v>115</v>
          </cell>
          <cell r="C119" t="str">
            <v>SDA0</v>
          </cell>
          <cell r="D119" t="str">
            <v>I2C0的SDA,可以复用成其它Func,请参考  MT8646_GPIO_Application_Spec表格</v>
          </cell>
        </row>
        <row r="120">
          <cell r="B120">
            <v>116</v>
          </cell>
          <cell r="C120" t="str">
            <v>GPIO110</v>
          </cell>
          <cell r="D120" t="str">
            <v>GPIO110,EINT110;可以复用成其它Func,请参考MT8646_GPIO_Application_Spec表格</v>
          </cell>
        </row>
        <row r="121">
          <cell r="B121">
            <v>117</v>
          </cell>
          <cell r="C121" t="str">
            <v>GPIO106</v>
          </cell>
          <cell r="D121" t="str">
            <v>GPIO106,EINT106;可以复用成其它Func,请参考MT8646_GPIO_Application_Spec表格</v>
          </cell>
        </row>
        <row r="122">
          <cell r="B122">
            <v>118</v>
          </cell>
          <cell r="C122" t="str">
            <v>D_GND</v>
          </cell>
        </row>
        <row r="122">
          <cell r="E122" t="str">
            <v>D_GND</v>
          </cell>
        </row>
        <row r="123">
          <cell r="B123">
            <v>119</v>
          </cell>
          <cell r="C123" t="str">
            <v>SCL0</v>
          </cell>
          <cell r="D123" t="str">
            <v>I2C0的SCL,可以复用成其它Func,请参考  MT8646_GPIO_Application_Spec表格</v>
          </cell>
        </row>
        <row r="124">
          <cell r="B124">
            <v>120</v>
          </cell>
          <cell r="C124" t="str">
            <v>D_GND</v>
          </cell>
        </row>
        <row r="124">
          <cell r="E124" t="str">
            <v>D_GND</v>
          </cell>
        </row>
        <row r="125">
          <cell r="B125">
            <v>121</v>
          </cell>
          <cell r="C125" t="str">
            <v>GPIO91_DP_TX_HPD</v>
          </cell>
          <cell r="D125" t="str">
            <v>DP的热插拔,EINT91,GPIO91;可以复用成其它Func,请参考MT8646_GPIO_Application_Spec表格</v>
          </cell>
          <cell r="E125" t="str">
            <v>DP</v>
          </cell>
        </row>
        <row r="126">
          <cell r="B126">
            <v>122</v>
          </cell>
          <cell r="C126" t="str">
            <v>GPIO63</v>
          </cell>
          <cell r="D126" t="str">
            <v>GPIO63,EINT63;可以复用成其它Func,请参考MT8646_GPIO_Application_Spec表格</v>
          </cell>
        </row>
        <row r="127">
          <cell r="B127">
            <v>123</v>
          </cell>
          <cell r="C127" t="str">
            <v>GPIO132_DISP_PWM1</v>
          </cell>
          <cell r="D127" t="str">
            <v>GPIO132,可复用成DISP_PWM1,此IO口不能做中断功能,可以复用成其它Func,请参考  MT8646_GPIO_Application_Spec表格</v>
          </cell>
        </row>
        <row r="128">
          <cell r="B128">
            <v>124</v>
          </cell>
          <cell r="C128" t="str">
            <v>GPIO92_DP_OC_EN</v>
          </cell>
          <cell r="D128" t="str">
            <v>DP的EN脚,EINT92,GPIO92;可以复用成其它Func,请参考MT8646_GPIO_Application_Spec表格</v>
          </cell>
          <cell r="E128" t="str">
            <v>DP</v>
          </cell>
        </row>
        <row r="129">
          <cell r="B129">
            <v>125</v>
          </cell>
          <cell r="C129" t="str">
            <v>D_GND</v>
          </cell>
        </row>
        <row r="129">
          <cell r="E129" t="str">
            <v>D_GND</v>
          </cell>
        </row>
        <row r="130">
          <cell r="B130">
            <v>126</v>
          </cell>
          <cell r="C130" t="str">
            <v>D_GND</v>
          </cell>
        </row>
        <row r="130">
          <cell r="E130" t="str">
            <v>D_GND</v>
          </cell>
        </row>
        <row r="131">
          <cell r="B131">
            <v>127</v>
          </cell>
          <cell r="C131" t="str">
            <v>NC</v>
          </cell>
          <cell r="D131" t="str">
            <v>NC脚，悬空</v>
          </cell>
        </row>
        <row r="132">
          <cell r="B132">
            <v>128</v>
          </cell>
          <cell r="C132" t="str">
            <v>NC</v>
          </cell>
          <cell r="D132" t="str">
            <v>NC脚，悬空</v>
          </cell>
        </row>
        <row r="133">
          <cell r="B133">
            <v>129</v>
          </cell>
          <cell r="C133" t="str">
            <v>D_GND</v>
          </cell>
        </row>
        <row r="133">
          <cell r="E133" t="str">
            <v>D_GND</v>
          </cell>
        </row>
        <row r="134">
          <cell r="B134">
            <v>130</v>
          </cell>
          <cell r="C134" t="str">
            <v>D_GND</v>
          </cell>
        </row>
        <row r="134">
          <cell r="E134" t="str">
            <v>D_GND</v>
          </cell>
        </row>
        <row r="135">
          <cell r="B135">
            <v>131</v>
          </cell>
          <cell r="C135" t="str">
            <v>D_GND</v>
          </cell>
        </row>
        <row r="135">
          <cell r="E135" t="str">
            <v>D_GND</v>
          </cell>
        </row>
        <row r="136">
          <cell r="B136">
            <v>132</v>
          </cell>
          <cell r="C136" t="str">
            <v>D_GND</v>
          </cell>
        </row>
        <row r="136">
          <cell r="E136" t="str">
            <v>D_GND</v>
          </cell>
        </row>
        <row r="137">
          <cell r="B137">
            <v>133</v>
          </cell>
          <cell r="C137" t="str">
            <v>D_GND</v>
          </cell>
        </row>
        <row r="137">
          <cell r="E137" t="str">
            <v>D_GND</v>
          </cell>
        </row>
        <row r="138">
          <cell r="B138">
            <v>134</v>
          </cell>
          <cell r="C138" t="str">
            <v>ANT3</v>
          </cell>
          <cell r="D138" t="str">
            <v>5G天线3</v>
          </cell>
        </row>
        <row r="139">
          <cell r="B139">
            <v>135</v>
          </cell>
          <cell r="C139" t="str">
            <v>D_GND</v>
          </cell>
        </row>
        <row r="139">
          <cell r="E139" t="str">
            <v>D_GND</v>
          </cell>
        </row>
        <row r="140">
          <cell r="B140">
            <v>136</v>
          </cell>
          <cell r="C140" t="str">
            <v>D_GND</v>
          </cell>
        </row>
        <row r="140">
          <cell r="E140" t="str">
            <v>D_GND</v>
          </cell>
        </row>
        <row r="141">
          <cell r="B141">
            <v>137</v>
          </cell>
          <cell r="C141" t="str">
            <v>D_GND</v>
          </cell>
        </row>
        <row r="141">
          <cell r="E141" t="str">
            <v>D_GND</v>
          </cell>
        </row>
        <row r="142">
          <cell r="B142">
            <v>138</v>
          </cell>
          <cell r="C142" t="str">
            <v>D_GND</v>
          </cell>
        </row>
        <row r="142">
          <cell r="E142" t="str">
            <v>D_GND</v>
          </cell>
        </row>
        <row r="143">
          <cell r="B143">
            <v>139</v>
          </cell>
          <cell r="C143" t="str">
            <v>ANT1</v>
          </cell>
          <cell r="D143" t="str">
            <v>5G天线1</v>
          </cell>
        </row>
        <row r="144">
          <cell r="B144">
            <v>140</v>
          </cell>
          <cell r="C144" t="str">
            <v>D_GND</v>
          </cell>
        </row>
        <row r="144">
          <cell r="E144" t="str">
            <v>D_GND</v>
          </cell>
        </row>
        <row r="145">
          <cell r="B145">
            <v>141</v>
          </cell>
          <cell r="C145" t="str">
            <v>D_GND</v>
          </cell>
        </row>
        <row r="145">
          <cell r="E145" t="str">
            <v>D_GND</v>
          </cell>
        </row>
        <row r="146">
          <cell r="B146">
            <v>142</v>
          </cell>
          <cell r="C146" t="str">
            <v>D_GND</v>
          </cell>
        </row>
        <row r="146">
          <cell r="E146" t="str">
            <v>D_GND</v>
          </cell>
        </row>
        <row r="147">
          <cell r="B147">
            <v>143</v>
          </cell>
          <cell r="C147" t="str">
            <v>NC</v>
          </cell>
          <cell r="D147" t="str">
            <v>NC脚，悬空</v>
          </cell>
        </row>
        <row r="148">
          <cell r="B148">
            <v>144</v>
          </cell>
          <cell r="C148" t="str">
            <v>I2S1_DO</v>
          </cell>
          <cell r="D148" t="str">
            <v>I2S1_DO,EINT22,GPIO22;可以复用成其它Func,请参考MT8646_GPIO_Application_Spec表格</v>
          </cell>
        </row>
        <row r="149">
          <cell r="B149">
            <v>145</v>
          </cell>
          <cell r="C149" t="str">
            <v>I2S1_DI</v>
          </cell>
          <cell r="D149" t="str">
            <v>I2S1_DI,EINT21,GPIO21;可以复用成其它Func,请参考MT8646_GPIO_Application_Spec表格</v>
          </cell>
        </row>
        <row r="150">
          <cell r="B150">
            <v>146</v>
          </cell>
          <cell r="C150" t="str">
            <v>D_GND</v>
          </cell>
        </row>
        <row r="150">
          <cell r="E150" t="str">
            <v>D_GND</v>
          </cell>
        </row>
        <row r="151">
          <cell r="B151">
            <v>147</v>
          </cell>
          <cell r="C151" t="str">
            <v>D_GND</v>
          </cell>
        </row>
        <row r="151">
          <cell r="E151" t="str">
            <v>D_GND</v>
          </cell>
        </row>
        <row r="152">
          <cell r="B152">
            <v>148</v>
          </cell>
          <cell r="C152" t="str">
            <v>ECALL_BACKUP_ANT5</v>
          </cell>
          <cell r="D152" t="str">
            <v>ECALL_ANT5备用天线</v>
          </cell>
        </row>
        <row r="153">
          <cell r="B153">
            <v>149</v>
          </cell>
          <cell r="C153" t="str">
            <v>D_GND</v>
          </cell>
        </row>
        <row r="153">
          <cell r="E153" t="str">
            <v>D_GND</v>
          </cell>
        </row>
        <row r="154">
          <cell r="B154">
            <v>150</v>
          </cell>
          <cell r="C154" t="str">
            <v>I2S1_LRCK</v>
          </cell>
          <cell r="D154" t="str">
            <v>I2S1_LRCK,EINT20,GPIO20;可以复用成其它Func,请参考MT8646_GPIO_Application_Spec表格</v>
          </cell>
        </row>
        <row r="155">
          <cell r="B155">
            <v>151</v>
          </cell>
          <cell r="C155" t="str">
            <v>I2S1_BCK</v>
          </cell>
          <cell r="D155" t="str">
            <v>I2S1_BCK,EINT19,GPIO19;可以复用成其它Func,请参考MT8646_GPIO_Application_Spec表格</v>
          </cell>
        </row>
        <row r="156">
          <cell r="B156">
            <v>152</v>
          </cell>
          <cell r="C156" t="str">
            <v>D_GND</v>
          </cell>
        </row>
        <row r="156">
          <cell r="E156" t="str">
            <v>D_GND</v>
          </cell>
        </row>
        <row r="157">
          <cell r="B157">
            <v>153</v>
          </cell>
          <cell r="C157" t="str">
            <v>D_GND</v>
          </cell>
        </row>
        <row r="157">
          <cell r="E157" t="str">
            <v>D_GND</v>
          </cell>
        </row>
        <row r="158">
          <cell r="B158">
            <v>154</v>
          </cell>
          <cell r="C158" t="str">
            <v>NC</v>
          </cell>
          <cell r="D158" t="str">
            <v>NC脚，悬空</v>
          </cell>
        </row>
        <row r="159">
          <cell r="B159">
            <v>155</v>
          </cell>
          <cell r="C159" t="str">
            <v>NC</v>
          </cell>
          <cell r="D159" t="str">
            <v>NC脚，悬空</v>
          </cell>
        </row>
        <row r="160">
          <cell r="B160">
            <v>156</v>
          </cell>
          <cell r="C160" t="str">
            <v>I2S2_DO</v>
          </cell>
          <cell r="D160" t="str">
            <v>I2S2_DO,EINT26,GPIO26;可以复用成其它Func,请参考MT8646_GPIO_Application_Spec表格</v>
          </cell>
        </row>
        <row r="161">
          <cell r="B161">
            <v>157</v>
          </cell>
          <cell r="C161" t="str">
            <v>I2S2_DI</v>
          </cell>
          <cell r="D161" t="str">
            <v>I2S2_DI,EINT25,GPIO25;可以复用成其它Func,请参考MT8646_GPIO_Application_Spec表格</v>
          </cell>
        </row>
        <row r="162">
          <cell r="B162">
            <v>158</v>
          </cell>
          <cell r="C162" t="str">
            <v>D_GND</v>
          </cell>
        </row>
        <row r="162">
          <cell r="E162" t="str">
            <v>D_GND</v>
          </cell>
        </row>
        <row r="163">
          <cell r="B163">
            <v>159</v>
          </cell>
          <cell r="C163" t="str">
            <v>D_GND</v>
          </cell>
        </row>
        <row r="163">
          <cell r="E163" t="str">
            <v>D_GND</v>
          </cell>
        </row>
        <row r="164">
          <cell r="B164">
            <v>160</v>
          </cell>
          <cell r="C164" t="str">
            <v>ANT0</v>
          </cell>
          <cell r="D164" t="str">
            <v>5G天线0</v>
          </cell>
        </row>
        <row r="165">
          <cell r="B165">
            <v>161</v>
          </cell>
          <cell r="C165" t="str">
            <v>D_GND</v>
          </cell>
        </row>
        <row r="165">
          <cell r="E165" t="str">
            <v>D_GND</v>
          </cell>
        </row>
        <row r="166">
          <cell r="B166">
            <v>162</v>
          </cell>
          <cell r="C166" t="str">
            <v>I2S2_LRCK</v>
          </cell>
          <cell r="D166" t="str">
            <v>I2S2_LRCK,EINT24,GPIO24;可以复用成其它Func,请参考MT8646_GPIO_Application_Spec表格</v>
          </cell>
        </row>
        <row r="167">
          <cell r="B167">
            <v>163</v>
          </cell>
          <cell r="C167" t="str">
            <v>I2S2_BCK</v>
          </cell>
          <cell r="D167" t="str">
            <v>I2S2_BCK,EINT23,GPIO23;可以复用成其它Func,请参考MT8646_GPIO_Application_Spec表格</v>
          </cell>
        </row>
        <row r="168">
          <cell r="B168">
            <v>164</v>
          </cell>
          <cell r="C168" t="str">
            <v>NC</v>
          </cell>
          <cell r="D168" t="str">
            <v>NC脚，悬空</v>
          </cell>
        </row>
        <row r="169">
          <cell r="B169">
            <v>165</v>
          </cell>
          <cell r="C169" t="str">
            <v>NC</v>
          </cell>
          <cell r="D169" t="str">
            <v>NC脚，悬空</v>
          </cell>
        </row>
        <row r="170">
          <cell r="B170">
            <v>166</v>
          </cell>
          <cell r="C170" t="str">
            <v>D_GND</v>
          </cell>
        </row>
        <row r="170">
          <cell r="E170" t="str">
            <v>D_GND</v>
          </cell>
        </row>
        <row r="171">
          <cell r="B171">
            <v>167</v>
          </cell>
          <cell r="C171" t="str">
            <v>D_GND</v>
          </cell>
        </row>
        <row r="171">
          <cell r="E171" t="str">
            <v>D_GND</v>
          </cell>
        </row>
        <row r="172">
          <cell r="B172">
            <v>168</v>
          </cell>
          <cell r="C172" t="str">
            <v>I2S0_DI</v>
          </cell>
          <cell r="D172" t="str">
            <v>I2S0_DI,EINT17,GPIO17;可以复用成其它Func,请参考MT8646_GPIO_Application_Spec表格</v>
          </cell>
        </row>
        <row r="173">
          <cell r="B173">
            <v>169</v>
          </cell>
          <cell r="C173" t="str">
            <v>I2S0_DO</v>
          </cell>
          <cell r="D173" t="str">
            <v>I2S0_DO,EINT18,GPIO18;可以复用成其它Func,请参考MT8646_GPIO_Application_Spec表格</v>
          </cell>
        </row>
        <row r="174">
          <cell r="B174">
            <v>170</v>
          </cell>
          <cell r="C174" t="str">
            <v>D_GND</v>
          </cell>
        </row>
        <row r="174">
          <cell r="E174" t="str">
            <v>D_GND</v>
          </cell>
        </row>
        <row r="175">
          <cell r="B175">
            <v>171</v>
          </cell>
          <cell r="C175" t="str">
            <v>D_GND</v>
          </cell>
        </row>
        <row r="175">
          <cell r="E175" t="str">
            <v>D_GND</v>
          </cell>
        </row>
        <row r="176">
          <cell r="B176">
            <v>172</v>
          </cell>
          <cell r="C176" t="str">
            <v>NC</v>
          </cell>
          <cell r="D176" t="str">
            <v>NC脚，悬空</v>
          </cell>
        </row>
        <row r="177">
          <cell r="B177">
            <v>173</v>
          </cell>
          <cell r="C177" t="str">
            <v>D_GND</v>
          </cell>
        </row>
        <row r="177">
          <cell r="E177" t="str">
            <v>D_GND</v>
          </cell>
        </row>
        <row r="178">
          <cell r="B178">
            <v>174</v>
          </cell>
          <cell r="C178" t="str">
            <v>I2S0_LRCK</v>
          </cell>
          <cell r="D178" t="str">
            <v>I2S0_LRCK,EINT16,GPIO16;可以复用成其它Func,请参考MT8646_GPIO_Application_Spec表格</v>
          </cell>
        </row>
        <row r="179">
          <cell r="B179">
            <v>175</v>
          </cell>
          <cell r="C179" t="str">
            <v>I2S0_BCK</v>
          </cell>
          <cell r="D179" t="str">
            <v>I2S0_BCK，EINT15,GPIO15;可以复用成其它Func,请参考MT8646_GPIO_Application_Spec表格</v>
          </cell>
        </row>
        <row r="180">
          <cell r="B180">
            <v>176</v>
          </cell>
          <cell r="C180" t="str">
            <v>NC</v>
          </cell>
          <cell r="D180" t="str">
            <v>NC脚，悬空</v>
          </cell>
        </row>
        <row r="181">
          <cell r="B181">
            <v>177</v>
          </cell>
          <cell r="C181" t="str">
            <v>NC</v>
          </cell>
          <cell r="D181" t="str">
            <v>NC脚，悬空</v>
          </cell>
        </row>
        <row r="182">
          <cell r="B182">
            <v>178</v>
          </cell>
          <cell r="C182" t="str">
            <v>NC</v>
          </cell>
          <cell r="D182" t="str">
            <v>NC脚，悬空</v>
          </cell>
        </row>
        <row r="183">
          <cell r="B183">
            <v>179</v>
          </cell>
          <cell r="C183" t="str">
            <v>NC</v>
          </cell>
          <cell r="D183" t="str">
            <v>NC脚，悬空</v>
          </cell>
        </row>
        <row r="184">
          <cell r="B184">
            <v>180</v>
          </cell>
          <cell r="C184" t="str">
            <v>SDA6</v>
          </cell>
          <cell r="D184" t="str">
            <v>I2C6的SDA,可以复用成其它Func,请参考  MT8646_GPIO_Application_Spec表格</v>
          </cell>
        </row>
        <row r="185">
          <cell r="B185">
            <v>181</v>
          </cell>
          <cell r="C185" t="str">
            <v>SCL6</v>
          </cell>
          <cell r="D185" t="str">
            <v>I2C6的SCL,可以复用成其它Func,请参考  MT8646_GPIO_Application_Spec表格</v>
          </cell>
        </row>
        <row r="186">
          <cell r="B186">
            <v>182</v>
          </cell>
          <cell r="C186" t="str">
            <v>D_GND</v>
          </cell>
        </row>
        <row r="186">
          <cell r="E186" t="str">
            <v>D_GND</v>
          </cell>
        </row>
        <row r="187">
          <cell r="B187">
            <v>183</v>
          </cell>
          <cell r="C187" t="str">
            <v>D_GND</v>
          </cell>
        </row>
        <row r="187">
          <cell r="E187" t="str">
            <v>D_GND</v>
          </cell>
        </row>
        <row r="188">
          <cell r="B188">
            <v>184</v>
          </cell>
          <cell r="C188" t="str">
            <v>ANT2</v>
          </cell>
          <cell r="D188" t="str">
            <v>5G天线2</v>
          </cell>
        </row>
        <row r="189">
          <cell r="B189">
            <v>185</v>
          </cell>
          <cell r="C189" t="str">
            <v>D_GND</v>
          </cell>
        </row>
        <row r="189">
          <cell r="E189" t="str">
            <v>D_GND</v>
          </cell>
        </row>
        <row r="190">
          <cell r="B190">
            <v>186</v>
          </cell>
          <cell r="C190" t="str">
            <v>D_GND</v>
          </cell>
        </row>
        <row r="190">
          <cell r="E190" t="str">
            <v>D_GND</v>
          </cell>
        </row>
        <row r="191">
          <cell r="B191">
            <v>187</v>
          </cell>
          <cell r="C191" t="str">
            <v>D_GND</v>
          </cell>
        </row>
        <row r="191">
          <cell r="E191" t="str">
            <v>D_GND</v>
          </cell>
        </row>
        <row r="192">
          <cell r="B192">
            <v>188</v>
          </cell>
          <cell r="C192" t="str">
            <v>BPI_D_BUS1</v>
          </cell>
          <cell r="D192" t="str">
            <v>GPIO86,EINT86;可以复用成其它Func,请参考MT8646_GPIO_Application_Spec表格</v>
          </cell>
        </row>
        <row r="193">
          <cell r="B193">
            <v>189</v>
          </cell>
          <cell r="C193" t="str">
            <v>GPIO190</v>
          </cell>
          <cell r="D193" t="str">
            <v>GPIO190,此IO口不能做中断功能，可以复用成其它Func,请参考MT8646_GPIO_Application_Spec表格</v>
          </cell>
        </row>
        <row r="194">
          <cell r="B194">
            <v>190</v>
          </cell>
          <cell r="C194" t="str">
            <v>NC</v>
          </cell>
          <cell r="D194" t="str">
            <v>NC脚，悬空</v>
          </cell>
        </row>
        <row r="195">
          <cell r="B195">
            <v>191</v>
          </cell>
          <cell r="C195" t="str">
            <v>VUSB_PMU</v>
          </cell>
          <cell r="D195" t="str">
            <v>AUDIO CODEC芯片的供电3.0V，不用请悬空</v>
          </cell>
        </row>
        <row r="196">
          <cell r="B196">
            <v>192</v>
          </cell>
          <cell r="C196" t="str">
            <v>NC</v>
          </cell>
          <cell r="D196" t="str">
            <v>NC脚，悬空</v>
          </cell>
        </row>
        <row r="197">
          <cell r="B197">
            <v>193</v>
          </cell>
          <cell r="C197" t="str">
            <v>NC</v>
          </cell>
          <cell r="D197" t="str">
            <v>NC脚，悬空</v>
          </cell>
        </row>
        <row r="198">
          <cell r="B198">
            <v>194</v>
          </cell>
          <cell r="C198" t="str">
            <v>D_GND</v>
          </cell>
        </row>
        <row r="198">
          <cell r="E198" t="str">
            <v>D_GND</v>
          </cell>
        </row>
        <row r="199">
          <cell r="B199">
            <v>195</v>
          </cell>
          <cell r="C199" t="str">
            <v>D_GND</v>
          </cell>
        </row>
        <row r="199">
          <cell r="E199" t="str">
            <v>D_GND</v>
          </cell>
        </row>
        <row r="200">
          <cell r="B200">
            <v>196</v>
          </cell>
          <cell r="C200" t="str">
            <v>GYRO_SENTRY_INT</v>
          </cell>
          <cell r="D200" t="str">
            <v>GYRO_SENTRY_INT，IMU中断脚通知底板，哨兵模式</v>
          </cell>
        </row>
        <row r="201">
          <cell r="B201">
            <v>197</v>
          </cell>
          <cell r="C201" t="str">
            <v>NC</v>
          </cell>
          <cell r="D201" t="str">
            <v>NC脚，悬空</v>
          </cell>
        </row>
        <row r="202">
          <cell r="B202">
            <v>198</v>
          </cell>
          <cell r="C202" t="str">
            <v>NC</v>
          </cell>
          <cell r="D202" t="str">
            <v>NC脚，悬空</v>
          </cell>
        </row>
        <row r="203">
          <cell r="B203">
            <v>199</v>
          </cell>
          <cell r="C203" t="str">
            <v>NC</v>
          </cell>
          <cell r="D203" t="str">
            <v>NC脚，悬空</v>
          </cell>
        </row>
        <row r="204">
          <cell r="B204">
            <v>200</v>
          </cell>
          <cell r="C204" t="str">
            <v>NC</v>
          </cell>
          <cell r="D204" t="str">
            <v>NC脚，悬空</v>
          </cell>
        </row>
        <row r="205">
          <cell r="B205">
            <v>201</v>
          </cell>
          <cell r="C205" t="str">
            <v>D_GND</v>
          </cell>
        </row>
        <row r="205">
          <cell r="E205" t="str">
            <v>D_GND</v>
          </cell>
        </row>
        <row r="206">
          <cell r="B206">
            <v>202</v>
          </cell>
          <cell r="C206" t="str">
            <v>D_GND</v>
          </cell>
        </row>
        <row r="206">
          <cell r="E206" t="str">
            <v>D_GND</v>
          </cell>
        </row>
        <row r="207">
          <cell r="B207">
            <v>203</v>
          </cell>
          <cell r="C207" t="str">
            <v>D_GND</v>
          </cell>
        </row>
        <row r="207">
          <cell r="E207" t="str">
            <v>D_GND</v>
          </cell>
        </row>
        <row r="208">
          <cell r="B208">
            <v>204</v>
          </cell>
          <cell r="C208" t="str">
            <v>NC</v>
          </cell>
          <cell r="D208" t="str">
            <v>NC脚，悬空</v>
          </cell>
        </row>
        <row r="209">
          <cell r="B209">
            <v>205</v>
          </cell>
          <cell r="C209" t="str">
            <v>NC</v>
          </cell>
          <cell r="D209" t="str">
            <v>NC脚，悬空</v>
          </cell>
        </row>
        <row r="210">
          <cell r="B210">
            <v>206</v>
          </cell>
          <cell r="C210" t="str">
            <v>NC</v>
          </cell>
          <cell r="D210" t="str">
            <v>NC脚，悬空</v>
          </cell>
        </row>
        <row r="211">
          <cell r="B211">
            <v>207</v>
          </cell>
          <cell r="C211" t="str">
            <v>NC</v>
          </cell>
          <cell r="D211" t="str">
            <v>NC脚，悬空</v>
          </cell>
        </row>
        <row r="212">
          <cell r="B212">
            <v>208</v>
          </cell>
          <cell r="C212" t="str">
            <v>NC</v>
          </cell>
          <cell r="D212" t="str">
            <v>NC脚，悬空</v>
          </cell>
        </row>
        <row r="213">
          <cell r="B213">
            <v>209</v>
          </cell>
          <cell r="C213" t="str">
            <v>NC</v>
          </cell>
          <cell r="D213" t="str">
            <v>NC脚，悬空</v>
          </cell>
        </row>
        <row r="214">
          <cell r="B214">
            <v>210</v>
          </cell>
          <cell r="C214" t="str">
            <v>NC</v>
          </cell>
          <cell r="D214" t="str">
            <v>NC脚，悬空</v>
          </cell>
        </row>
        <row r="215">
          <cell r="B215">
            <v>211</v>
          </cell>
          <cell r="C215" t="str">
            <v>NC</v>
          </cell>
          <cell r="D215" t="str">
            <v>NC脚，悬空</v>
          </cell>
        </row>
        <row r="216">
          <cell r="B216">
            <v>212</v>
          </cell>
          <cell r="C216" t="str">
            <v>D_GND</v>
          </cell>
        </row>
        <row r="216">
          <cell r="E216" t="str">
            <v>D_GND</v>
          </cell>
        </row>
        <row r="217">
          <cell r="B217">
            <v>213</v>
          </cell>
          <cell r="C217" t="str">
            <v>NC</v>
          </cell>
          <cell r="D217" t="str">
            <v>NC脚，悬空</v>
          </cell>
        </row>
        <row r="218">
          <cell r="B218">
            <v>214</v>
          </cell>
          <cell r="C218" t="str">
            <v>NC</v>
          </cell>
          <cell r="D218" t="str">
            <v>NC脚，悬空</v>
          </cell>
        </row>
        <row r="219">
          <cell r="B219">
            <v>215</v>
          </cell>
          <cell r="C219" t="str">
            <v>NC</v>
          </cell>
          <cell r="D219" t="str">
            <v>NC脚，悬空</v>
          </cell>
        </row>
        <row r="220">
          <cell r="B220">
            <v>216</v>
          </cell>
          <cell r="C220" t="str">
            <v>NC</v>
          </cell>
          <cell r="D220" t="str">
            <v>NC脚，悬空</v>
          </cell>
        </row>
        <row r="221">
          <cell r="B221">
            <v>217</v>
          </cell>
          <cell r="C221" t="str">
            <v>NC</v>
          </cell>
          <cell r="D221" t="str">
            <v>NC脚，悬空</v>
          </cell>
        </row>
        <row r="222">
          <cell r="B222">
            <v>218</v>
          </cell>
          <cell r="C222" t="str">
            <v>NC</v>
          </cell>
          <cell r="D222" t="str">
            <v>NC脚，悬空</v>
          </cell>
        </row>
        <row r="223">
          <cell r="B223">
            <v>219</v>
          </cell>
          <cell r="C223" t="str">
            <v>GPIO0_FMI2S_LRCK</v>
          </cell>
          <cell r="D223" t="str">
            <v>此IO口在核心板预留有12K电阻上拉，用于核心板的模式配置，不推荐做IO使用。FMI2S_LRCK,GPIO0,SCP_EINT0;可以复用成其它Func,请参考MT8646_GPIO_Application_Spec表格</v>
          </cell>
        </row>
        <row r="224">
          <cell r="B224">
            <v>220</v>
          </cell>
          <cell r="C224" t="str">
            <v>D_GND</v>
          </cell>
        </row>
        <row r="224">
          <cell r="E224" t="str">
            <v>D_GND</v>
          </cell>
        </row>
        <row r="225">
          <cell r="B225">
            <v>221</v>
          </cell>
          <cell r="C225" t="str">
            <v>D_GND</v>
          </cell>
        </row>
        <row r="225">
          <cell r="E225" t="str">
            <v>D_GND</v>
          </cell>
        </row>
        <row r="226">
          <cell r="B226">
            <v>222</v>
          </cell>
          <cell r="C226" t="str">
            <v>NC</v>
          </cell>
          <cell r="D226" t="str">
            <v>NC脚，悬空</v>
          </cell>
        </row>
        <row r="227">
          <cell r="B227">
            <v>223</v>
          </cell>
          <cell r="C227" t="str">
            <v>NC</v>
          </cell>
          <cell r="D227" t="str">
            <v>NC脚，悬空</v>
          </cell>
        </row>
        <row r="228">
          <cell r="B228">
            <v>224</v>
          </cell>
          <cell r="C228" t="str">
            <v>D_GND</v>
          </cell>
        </row>
        <row r="228">
          <cell r="E228" t="str">
            <v>D_GND</v>
          </cell>
        </row>
        <row r="229">
          <cell r="B229">
            <v>225</v>
          </cell>
          <cell r="C229" t="str">
            <v>GPIO84</v>
          </cell>
          <cell r="D229" t="str">
            <v>GPIO184,EINT184;可以复用成其它Func,请参考MT8646_GPIO_Application_Spec表格</v>
          </cell>
        </row>
        <row r="230">
          <cell r="B230">
            <v>226</v>
          </cell>
          <cell r="C230" t="str">
            <v>NC</v>
          </cell>
          <cell r="D230" t="str">
            <v>NC脚，悬空</v>
          </cell>
        </row>
        <row r="231">
          <cell r="B231">
            <v>227</v>
          </cell>
          <cell r="C231" t="str">
            <v>SCL3</v>
          </cell>
          <cell r="D231" t="str">
            <v>I2C3的SCL,可以复用成其它Func,请参考  MT8646_GPIO_Application_Spec表格</v>
          </cell>
        </row>
        <row r="232">
          <cell r="B232">
            <v>228</v>
          </cell>
          <cell r="C232" t="str">
            <v>NC</v>
          </cell>
          <cell r="D232" t="str">
            <v>NC脚，悬空</v>
          </cell>
        </row>
        <row r="233">
          <cell r="B233">
            <v>229</v>
          </cell>
          <cell r="C233" t="str">
            <v>NC</v>
          </cell>
          <cell r="D233" t="str">
            <v>NC脚，悬空</v>
          </cell>
        </row>
        <row r="234">
          <cell r="B234">
            <v>230</v>
          </cell>
          <cell r="C234" t="str">
            <v>D_GND</v>
          </cell>
        </row>
        <row r="234">
          <cell r="E234" t="str">
            <v>D_GND</v>
          </cell>
        </row>
        <row r="235">
          <cell r="B235">
            <v>231</v>
          </cell>
          <cell r="C235" t="str">
            <v>D_GND</v>
          </cell>
        </row>
        <row r="235">
          <cell r="E235" t="str">
            <v>D_GND</v>
          </cell>
        </row>
        <row r="236">
          <cell r="B236">
            <v>232</v>
          </cell>
          <cell r="C236" t="str">
            <v>NC</v>
          </cell>
          <cell r="D236" t="str">
            <v>NC脚，悬空</v>
          </cell>
        </row>
        <row r="237">
          <cell r="B237">
            <v>233</v>
          </cell>
          <cell r="C237" t="str">
            <v>NC</v>
          </cell>
          <cell r="D237" t="str">
            <v>NC脚，悬空</v>
          </cell>
        </row>
        <row r="238">
          <cell r="B238">
            <v>234</v>
          </cell>
          <cell r="C238" t="str">
            <v>MSDC1_DATA0</v>
          </cell>
          <cell r="D238" t="str">
            <v>SD1卡DATA0,GPIO74,EINT74;可以复用成其它Func,请参考MT8646_GPIO_Application_Spec表格</v>
          </cell>
          <cell r="E238" t="str">
            <v>SD</v>
          </cell>
        </row>
        <row r="239">
          <cell r="B239">
            <v>235</v>
          </cell>
          <cell r="C239" t="str">
            <v>MSDC1_DATA3</v>
          </cell>
          <cell r="D239" t="str">
            <v>SD1卡DATA3,GPIO77,EINT77;可以复用成其它Func,请参考MT8646_GPIO_Application_Spec表格</v>
          </cell>
          <cell r="E239" t="str">
            <v>SD</v>
          </cell>
        </row>
        <row r="240">
          <cell r="B240">
            <v>236</v>
          </cell>
          <cell r="C240" t="str">
            <v>SDA3</v>
          </cell>
          <cell r="D240" t="str">
            <v>I2C3的SDA,可以复用成其它Func,请参考  MT8646_GPIO_Application_Spec表格</v>
          </cell>
        </row>
        <row r="241">
          <cell r="B241">
            <v>237</v>
          </cell>
          <cell r="C241" t="str">
            <v>VSIM2_PMU</v>
          </cell>
          <cell r="D241" t="str">
            <v>SIM卡2供电输出, 1.86/2.9V  200MA</v>
          </cell>
          <cell r="E241" t="str">
            <v>SIM</v>
          </cell>
        </row>
        <row r="242">
          <cell r="B242">
            <v>238</v>
          </cell>
          <cell r="C242" t="str">
            <v>SIM2_SIO</v>
          </cell>
          <cell r="D242" t="str">
            <v>SIM卡2的数据口,GPIO71,EINT71，不用SIM2时可以当做GPIO口或中断功能。</v>
          </cell>
          <cell r="E242" t="str">
            <v>SIM</v>
          </cell>
        </row>
        <row r="243">
          <cell r="B243">
            <v>239</v>
          </cell>
          <cell r="C243" t="str">
            <v>SIM2_SRST</v>
          </cell>
          <cell r="D243" t="str">
            <v>SIM卡2的复位,GPIO70,EINT70,不用SIM2时可以当做GPIO口或中断功能。</v>
          </cell>
          <cell r="E243" t="str">
            <v>SIM</v>
          </cell>
        </row>
        <row r="244">
          <cell r="B244">
            <v>240</v>
          </cell>
          <cell r="C244" t="str">
            <v>MSDC1_DATA2</v>
          </cell>
          <cell r="D244" t="str">
            <v>SD1卡DATA2,GPIO76,EINT76;可以复用成其它Func,请参考MT8646_GPIO_Application_Spec表格</v>
          </cell>
          <cell r="E244" t="str">
            <v>SD</v>
          </cell>
        </row>
        <row r="245">
          <cell r="B245">
            <v>241</v>
          </cell>
          <cell r="C245" t="str">
            <v>MSDC1_DATA1</v>
          </cell>
          <cell r="D245" t="str">
            <v>SD1卡DATA1,GPIO75,EINT75;可以复用成其它Func,请参考MT8646_GPIO_Application_Spec表格</v>
          </cell>
          <cell r="E245" t="str">
            <v>SD</v>
          </cell>
        </row>
        <row r="246">
          <cell r="B246">
            <v>242</v>
          </cell>
          <cell r="C246" t="str">
            <v>DP_AUXP</v>
          </cell>
          <cell r="D246" t="str">
            <v>DP1.4 AUXP</v>
          </cell>
          <cell r="E246" t="str">
            <v>DP</v>
          </cell>
        </row>
        <row r="247">
          <cell r="B247">
            <v>243</v>
          </cell>
          <cell r="C247" t="str">
            <v>DP_AUXN</v>
          </cell>
          <cell r="D247" t="str">
            <v>DP1.4 AUXN</v>
          </cell>
          <cell r="E247" t="str">
            <v>DP</v>
          </cell>
        </row>
        <row r="248">
          <cell r="B248">
            <v>244</v>
          </cell>
          <cell r="C248" t="str">
            <v>USB_DM</v>
          </cell>
          <cell r="D248" t="str">
            <v>USB2.0 DM</v>
          </cell>
          <cell r="E248" t="str">
            <v>DP</v>
          </cell>
        </row>
        <row r="249">
          <cell r="B249">
            <v>245</v>
          </cell>
          <cell r="C249" t="str">
            <v>USB_DP</v>
          </cell>
          <cell r="D249" t="str">
            <v>USB2.0 DP</v>
          </cell>
          <cell r="E249" t="str">
            <v>DP</v>
          </cell>
        </row>
        <row r="250">
          <cell r="B250">
            <v>246</v>
          </cell>
          <cell r="C250" t="str">
            <v>MSDC1_CMD</v>
          </cell>
          <cell r="D250" t="str">
            <v>SD1卡CMD,GPIO73,EINT73;可以复用成其它Func,请参考MT8646_GPIO_Application_Spec表格</v>
          </cell>
          <cell r="E250" t="str">
            <v>SD</v>
          </cell>
        </row>
        <row r="251">
          <cell r="B251">
            <v>247</v>
          </cell>
          <cell r="C251" t="str">
            <v>MSDC1_CLK</v>
          </cell>
          <cell r="D251" t="str">
            <v>SD1卡CLK,GPIO72,EINT72;可以复用成其它Func,请参考MT8646_GPIO_Application_Spec表格</v>
          </cell>
          <cell r="E251" t="str">
            <v>SD</v>
          </cell>
        </row>
        <row r="252">
          <cell r="B252">
            <v>248</v>
          </cell>
          <cell r="C252" t="str">
            <v>SIM2_SCLK</v>
          </cell>
          <cell r="D252" t="str">
            <v>SIM卡2的时钟,GPIO69,EINT69,不用SIM2时可以当做GPIO口或中断功能。</v>
          </cell>
          <cell r="E252" t="str">
            <v>SIM</v>
          </cell>
        </row>
        <row r="253">
          <cell r="B253">
            <v>249</v>
          </cell>
          <cell r="C253" t="str">
            <v>D_GND</v>
          </cell>
        </row>
        <row r="253">
          <cell r="E253" t="str">
            <v>D_GND</v>
          </cell>
        </row>
        <row r="254">
          <cell r="B254">
            <v>250</v>
          </cell>
          <cell r="C254" t="str">
            <v>VSIM1_PMU</v>
          </cell>
          <cell r="D254" t="str">
            <v>SIM卡1供电输出, 1.86/2.9V  200MA</v>
          </cell>
          <cell r="E254" t="str">
            <v>SIM</v>
          </cell>
        </row>
        <row r="255">
          <cell r="B255">
            <v>251</v>
          </cell>
          <cell r="C255" t="str">
            <v>SIM1_SCLK</v>
          </cell>
          <cell r="D255" t="str">
            <v>SIM卡1的时钟,GPIO66,EINT66,不用SIM1时可以当做GPIO口或中断功能。</v>
          </cell>
          <cell r="E255" t="str">
            <v>SIM</v>
          </cell>
        </row>
        <row r="256">
          <cell r="B256">
            <v>252</v>
          </cell>
          <cell r="C256" t="str">
            <v>SIM1_SIO</v>
          </cell>
          <cell r="D256" t="str">
            <v>SIM卡1的数据口,GPIO68,EINT68，不用SIM1时可以当做GPIO口或中断功能。</v>
          </cell>
          <cell r="E256" t="str">
            <v>SIM</v>
          </cell>
        </row>
        <row r="257">
          <cell r="B257">
            <v>253</v>
          </cell>
          <cell r="C257" t="str">
            <v>DP_LN1_TXP_P2</v>
          </cell>
          <cell r="D257" t="str">
            <v>DP1.4 LN1 TXP</v>
          </cell>
          <cell r="E257" t="str">
            <v>DP</v>
          </cell>
        </row>
        <row r="258">
          <cell r="B258">
            <v>254</v>
          </cell>
          <cell r="C258" t="str">
            <v>DP_LN1_TXN_P2</v>
          </cell>
          <cell r="D258" t="str">
            <v>DP1.4 LN1 TXN</v>
          </cell>
          <cell r="E258" t="str">
            <v>DP</v>
          </cell>
        </row>
        <row r="259">
          <cell r="B259">
            <v>255</v>
          </cell>
          <cell r="C259" t="str">
            <v>DP_LN0_TXN_P2</v>
          </cell>
          <cell r="D259" t="str">
            <v>DP1.4 LN0 TXN</v>
          </cell>
          <cell r="E259" t="str">
            <v>DP</v>
          </cell>
        </row>
        <row r="260">
          <cell r="B260">
            <v>256</v>
          </cell>
          <cell r="C260" t="str">
            <v>DP_LN0_TXP_P2</v>
          </cell>
          <cell r="D260" t="str">
            <v>DP1.4 LN0 TXP</v>
          </cell>
          <cell r="E260" t="str">
            <v>DP</v>
          </cell>
        </row>
        <row r="261">
          <cell r="B261">
            <v>257</v>
          </cell>
          <cell r="C261" t="str">
            <v>D_GND</v>
          </cell>
        </row>
        <row r="261">
          <cell r="E261" t="str">
            <v>D_GND</v>
          </cell>
        </row>
        <row r="262">
          <cell r="B262">
            <v>258</v>
          </cell>
          <cell r="C262" t="str">
            <v>SIM1_SRST</v>
          </cell>
          <cell r="D262" t="str">
            <v>SIM卡1的复位,GPIO67,EINT67,不用SIM2时可以当做GPIO口或中断功能。</v>
          </cell>
          <cell r="E262" t="str">
            <v>SIM</v>
          </cell>
        </row>
        <row r="263">
          <cell r="B263">
            <v>259</v>
          </cell>
          <cell r="C263" t="str">
            <v>D_GND</v>
          </cell>
        </row>
        <row r="263">
          <cell r="E263" t="str">
            <v>D_GND</v>
          </cell>
        </row>
        <row r="264">
          <cell r="B264">
            <v>260</v>
          </cell>
          <cell r="C264" t="str">
            <v>SSUSB_TXP_P1</v>
          </cell>
          <cell r="D264" t="str">
            <v>USB3.0 SSUSB_TXP_P1;不用USB3.0时可复用为DP1.4 LN2 TXP</v>
          </cell>
        </row>
        <row r="265">
          <cell r="B265">
            <v>261</v>
          </cell>
          <cell r="C265" t="str">
            <v>SSUSB_TXN_P1</v>
          </cell>
          <cell r="D265" t="str">
            <v>USB3.0 SSUSB_TXN_P1;不用USB3.0时可复用为DP1.4 LN2 TXN</v>
          </cell>
        </row>
        <row r="266">
          <cell r="B266">
            <v>262</v>
          </cell>
          <cell r="C266" t="str">
            <v>SSUSB_RXN_P1</v>
          </cell>
          <cell r="D266" t="str">
            <v>USB3.0 SSUSB_RXN_P1;不用USB3.0时可复用为DP1.4 LN3 TXN</v>
          </cell>
        </row>
        <row r="267">
          <cell r="B267">
            <v>263</v>
          </cell>
          <cell r="C267" t="str">
            <v>SSUSB_RXP_P1</v>
          </cell>
          <cell r="D267" t="str">
            <v>USB3.0 SSUSB_RXP_P1;不用USB3.0时可复用为DP1.4 LN3 TXP</v>
          </cell>
        </row>
        <row r="268">
          <cell r="B268">
            <v>264</v>
          </cell>
          <cell r="C268" t="str">
            <v>D_GND</v>
          </cell>
        </row>
        <row r="268">
          <cell r="E268" t="str">
            <v>D_GND</v>
          </cell>
        </row>
        <row r="269">
          <cell r="B269">
            <v>265</v>
          </cell>
          <cell r="C269" t="str">
            <v>D_GND</v>
          </cell>
        </row>
        <row r="269">
          <cell r="E269" t="str">
            <v>D_GND</v>
          </cell>
        </row>
        <row r="270">
          <cell r="B270">
            <v>266</v>
          </cell>
          <cell r="C270" t="str">
            <v>DSI1_D0N</v>
          </cell>
          <cell r="D270" t="str">
            <v>MIPI DSI1的D0N</v>
          </cell>
          <cell r="E270" t="str">
            <v>DSI</v>
          </cell>
        </row>
        <row r="271">
          <cell r="B271">
            <v>267</v>
          </cell>
          <cell r="C271" t="str">
            <v>DSI1_CKN</v>
          </cell>
          <cell r="D271" t="str">
            <v>MIPI DSI1的CKN</v>
          </cell>
          <cell r="E271" t="str">
            <v>DSI</v>
          </cell>
        </row>
        <row r="272">
          <cell r="B272">
            <v>268</v>
          </cell>
          <cell r="C272" t="str">
            <v>D_GND</v>
          </cell>
        </row>
        <row r="272">
          <cell r="E272" t="str">
            <v>D_GND</v>
          </cell>
        </row>
        <row r="273">
          <cell r="B273">
            <v>269</v>
          </cell>
          <cell r="C273" t="str">
            <v>DSI1_CKP</v>
          </cell>
          <cell r="D273" t="str">
            <v>MIPI DSI1的CKP</v>
          </cell>
          <cell r="E273" t="str">
            <v>DSI</v>
          </cell>
        </row>
        <row r="274">
          <cell r="B274">
            <v>270</v>
          </cell>
          <cell r="C274" t="str">
            <v>DSI1_D0P</v>
          </cell>
          <cell r="D274" t="str">
            <v>MIPI DSI1的D0P</v>
          </cell>
          <cell r="E274" t="str">
            <v>DSI</v>
          </cell>
        </row>
        <row r="275">
          <cell r="B275">
            <v>271</v>
          </cell>
          <cell r="C275" t="str">
            <v>DSI1_D1N</v>
          </cell>
          <cell r="D275" t="str">
            <v>MIPI DSI1的D1N</v>
          </cell>
          <cell r="E275" t="str">
            <v>DSI</v>
          </cell>
        </row>
        <row r="276">
          <cell r="B276">
            <v>272</v>
          </cell>
          <cell r="C276" t="str">
            <v>DSI1_D1P</v>
          </cell>
          <cell r="D276" t="str">
            <v>MIPI DSI1的D1P</v>
          </cell>
          <cell r="E276" t="str">
            <v>DSI</v>
          </cell>
        </row>
        <row r="277">
          <cell r="B277">
            <v>273</v>
          </cell>
          <cell r="C277" t="str">
            <v>DSI1_D2N</v>
          </cell>
          <cell r="D277" t="str">
            <v>MIPI DSI1的D2N</v>
          </cell>
          <cell r="E277" t="str">
            <v>DSI</v>
          </cell>
        </row>
        <row r="278">
          <cell r="B278">
            <v>274</v>
          </cell>
          <cell r="C278" t="str">
            <v>DSI1_D2P</v>
          </cell>
          <cell r="D278" t="str">
            <v>MIPI DSI1的D2P</v>
          </cell>
          <cell r="E278" t="str">
            <v>DSI</v>
          </cell>
        </row>
        <row r="279">
          <cell r="B279">
            <v>275</v>
          </cell>
          <cell r="C279" t="str">
            <v>D_GND</v>
          </cell>
        </row>
        <row r="279">
          <cell r="E279" t="str">
            <v>D_GND</v>
          </cell>
        </row>
        <row r="280">
          <cell r="B280">
            <v>276</v>
          </cell>
          <cell r="C280" t="str">
            <v>DSI1_D3P</v>
          </cell>
          <cell r="D280" t="str">
            <v>MIPI DSI1的D3P</v>
          </cell>
          <cell r="E280" t="str">
            <v>DSI</v>
          </cell>
        </row>
        <row r="281">
          <cell r="B281">
            <v>277</v>
          </cell>
          <cell r="C281" t="str">
            <v>DSI1_D3N</v>
          </cell>
          <cell r="D281" t="str">
            <v>MIPI DSI1的D3N</v>
          </cell>
          <cell r="E281" t="str">
            <v>DSI</v>
          </cell>
        </row>
        <row r="282">
          <cell r="B282">
            <v>278</v>
          </cell>
          <cell r="C282" t="str">
            <v>DSI0_D2P</v>
          </cell>
          <cell r="D282" t="str">
            <v>MIPI DSI0的D2P</v>
          </cell>
          <cell r="E282" t="str">
            <v>DSI</v>
          </cell>
        </row>
        <row r="283">
          <cell r="B283">
            <v>279</v>
          </cell>
          <cell r="C283" t="str">
            <v>DSI0_D2N</v>
          </cell>
          <cell r="D283" t="str">
            <v>MIPI DSI0的D2N</v>
          </cell>
          <cell r="E283" t="str">
            <v>DSI</v>
          </cell>
        </row>
        <row r="284">
          <cell r="B284">
            <v>280</v>
          </cell>
          <cell r="C284" t="str">
            <v>DSI0_D3N</v>
          </cell>
          <cell r="D284" t="str">
            <v>MIPI DSI0的D3N</v>
          </cell>
          <cell r="E284" t="str">
            <v>DSI</v>
          </cell>
        </row>
        <row r="285">
          <cell r="B285">
            <v>281</v>
          </cell>
          <cell r="C285" t="str">
            <v>DSI0_D3P</v>
          </cell>
          <cell r="D285" t="str">
            <v>MIPI DSI0的D3P</v>
          </cell>
          <cell r="E285" t="str">
            <v>DSI</v>
          </cell>
        </row>
        <row r="286">
          <cell r="B286">
            <v>282</v>
          </cell>
          <cell r="C286" t="str">
            <v>DSI0_D1N</v>
          </cell>
          <cell r="D286" t="str">
            <v>MIPI DSI0的D1N</v>
          </cell>
          <cell r="E286" t="str">
            <v>DSI</v>
          </cell>
        </row>
        <row r="287">
          <cell r="B287">
            <v>283</v>
          </cell>
          <cell r="C287" t="str">
            <v>DSI0_D1P</v>
          </cell>
          <cell r="D287" t="str">
            <v>MIPI DSI0的D1P</v>
          </cell>
          <cell r="E287" t="str">
            <v>DSI</v>
          </cell>
        </row>
        <row r="288">
          <cell r="B288">
            <v>284</v>
          </cell>
          <cell r="C288" t="str">
            <v>SPI3_CSB_SWTP</v>
          </cell>
          <cell r="D288" t="str">
            <v>SPI3_CSB_SWTP，GPIO28,EINT28;可以复用成其它Func,请参考MT8676_GPIO_Application_Spec表格</v>
          </cell>
        </row>
        <row r="289">
          <cell r="B289">
            <v>285</v>
          </cell>
          <cell r="C289" t="str">
            <v>SPI3_CK</v>
          </cell>
          <cell r="D289" t="str">
            <v>SPI3_CK，GPIO27,EINT27;可以复用成其它Func,请参考MT8646_GPIO_Application_Spec表格</v>
          </cell>
        </row>
        <row r="290">
          <cell r="B290">
            <v>286</v>
          </cell>
          <cell r="C290" t="str">
            <v>SPI3_MO</v>
          </cell>
          <cell r="D290" t="str">
            <v>SPI3_MO，GPIO30,EINT30;可以复用成其它Func,请参考MT8646_GPIO_Application_Spec表格</v>
          </cell>
        </row>
        <row r="291">
          <cell r="B291">
            <v>287</v>
          </cell>
          <cell r="C291" t="str">
            <v>SPI3_MI</v>
          </cell>
          <cell r="D291" t="str">
            <v>SPI3_MI，GPIO29,EINT29;可以复用成其它Func,请参考MT8646_GPIO_Application_Spec表格</v>
          </cell>
        </row>
        <row r="292">
          <cell r="B292">
            <v>288</v>
          </cell>
          <cell r="C292" t="str">
            <v>D_GND</v>
          </cell>
        </row>
        <row r="292">
          <cell r="E292" t="str">
            <v>D_GND</v>
          </cell>
        </row>
        <row r="293">
          <cell r="B293">
            <v>289</v>
          </cell>
          <cell r="C293" t="str">
            <v>DSI0_D0P</v>
          </cell>
          <cell r="D293" t="str">
            <v>MIPI DSI0的D0P</v>
          </cell>
          <cell r="E293" t="str">
            <v>DSI</v>
          </cell>
        </row>
        <row r="294">
          <cell r="B294">
            <v>290</v>
          </cell>
          <cell r="C294" t="str">
            <v>DSI0_D0N</v>
          </cell>
          <cell r="D294" t="str">
            <v>MIPI DSI0的D0N</v>
          </cell>
          <cell r="E294" t="str">
            <v>DSI</v>
          </cell>
        </row>
        <row r="295">
          <cell r="B295">
            <v>291</v>
          </cell>
          <cell r="C295" t="str">
            <v>NC</v>
          </cell>
          <cell r="D295" t="str">
            <v>NC脚，悬空</v>
          </cell>
        </row>
        <row r="296">
          <cell r="B296">
            <v>292</v>
          </cell>
          <cell r="C296" t="str">
            <v>NC</v>
          </cell>
          <cell r="D296" t="str">
            <v>NC脚，悬空</v>
          </cell>
        </row>
        <row r="297">
          <cell r="B297">
            <v>293</v>
          </cell>
          <cell r="C297" t="str">
            <v>DSI0_CKN</v>
          </cell>
          <cell r="D297" t="str">
            <v>MIPI DSI0的CKN</v>
          </cell>
          <cell r="E297" t="str">
            <v>DSI</v>
          </cell>
        </row>
        <row r="298">
          <cell r="B298">
            <v>294</v>
          </cell>
          <cell r="C298" t="str">
            <v>DSI0_CKP</v>
          </cell>
          <cell r="D298" t="str">
            <v>MIPI DSI0的CKP</v>
          </cell>
          <cell r="E298" t="str">
            <v>DSI</v>
          </cell>
        </row>
        <row r="299">
          <cell r="B299">
            <v>295</v>
          </cell>
          <cell r="C299" t="str">
            <v>PERIEN_CHG_ENB_GPIO133</v>
          </cell>
          <cell r="D299" t="str">
            <v>GPIO133,此IO口不能做中断功能,可以复用成其它Func,请参考MT8646_GPIO_Application_Spec表格</v>
          </cell>
        </row>
        <row r="300">
          <cell r="B300">
            <v>296</v>
          </cell>
          <cell r="C300" t="str">
            <v>SPI4_CSB</v>
          </cell>
          <cell r="D300" t="str">
            <v>SPI4_CSB;GPIO37,EINT37;可以复用成其它Func,请参考MT8646_GPIO_Application_Spec表格</v>
          </cell>
        </row>
        <row r="301">
          <cell r="B301">
            <v>297</v>
          </cell>
          <cell r="C301" t="str">
            <v>SPI4_MO</v>
          </cell>
          <cell r="D301" t="str">
            <v>SPI4_MO;GPIO39,EINT39;可以复用成其它Func,请参考MT8646_GPIO_Application_Spec表格</v>
          </cell>
        </row>
        <row r="302">
          <cell r="B302">
            <v>298</v>
          </cell>
          <cell r="C302" t="str">
            <v>SPI4_MI</v>
          </cell>
          <cell r="D302" t="str">
            <v>SPI4_MO;GPIO38,EINT38;可以复用成其它Func,请参考MT8646_GPIO_Application_Spec表格</v>
          </cell>
        </row>
        <row r="303">
          <cell r="B303">
            <v>299</v>
          </cell>
          <cell r="C303" t="str">
            <v>SPI4_CK</v>
          </cell>
          <cell r="D303" t="str">
            <v>SPI4_MO;GPIO36,EINT36;可以复用成其它Func,请参考MT8646_GPIO_Application_Spec表格</v>
          </cell>
        </row>
        <row r="304">
          <cell r="B304">
            <v>300</v>
          </cell>
          <cell r="C304" t="str">
            <v>NC</v>
          </cell>
          <cell r="D304" t="str">
            <v>NC脚，悬空</v>
          </cell>
        </row>
        <row r="305">
          <cell r="B305">
            <v>301</v>
          </cell>
          <cell r="C305" t="str">
            <v>NC</v>
          </cell>
          <cell r="D305" t="str">
            <v>NC脚，悬空</v>
          </cell>
        </row>
        <row r="306">
          <cell r="B306">
            <v>302</v>
          </cell>
          <cell r="C306" t="str">
            <v>NC</v>
          </cell>
          <cell r="D306" t="str">
            <v>NC脚，悬空</v>
          </cell>
        </row>
        <row r="307">
          <cell r="B307">
            <v>303</v>
          </cell>
          <cell r="C307" t="str">
            <v>NC</v>
          </cell>
          <cell r="D307" t="str">
            <v>NC脚，悬空</v>
          </cell>
        </row>
        <row r="308">
          <cell r="B308">
            <v>304</v>
          </cell>
          <cell r="C308" t="str">
            <v>NC</v>
          </cell>
          <cell r="D308" t="str">
            <v>NC脚，悬空</v>
          </cell>
        </row>
        <row r="309">
          <cell r="B309">
            <v>305</v>
          </cell>
          <cell r="C309" t="str">
            <v>NC</v>
          </cell>
          <cell r="D309" t="str">
            <v>NC脚，悬空</v>
          </cell>
        </row>
        <row r="310">
          <cell r="B310">
            <v>306</v>
          </cell>
          <cell r="C310" t="str">
            <v>NC</v>
          </cell>
          <cell r="D310" t="str">
            <v>NC脚，悬空</v>
          </cell>
        </row>
        <row r="311">
          <cell r="B311">
            <v>307</v>
          </cell>
          <cell r="C311" t="str">
            <v>NC</v>
          </cell>
          <cell r="D311" t="str">
            <v>NC脚，悬空</v>
          </cell>
        </row>
        <row r="312">
          <cell r="B312">
            <v>308</v>
          </cell>
          <cell r="C312" t="str">
            <v>GPIO191</v>
          </cell>
          <cell r="D312" t="str">
            <v>GPIO191,可复用成GPS_L5_ELNA_EN,此IO口不能做中断功能,请参考  MT8646_GPIO_Application_Spec表格</v>
          </cell>
        </row>
        <row r="313">
          <cell r="B313">
            <v>309</v>
          </cell>
          <cell r="C313" t="str">
            <v>GPIO136</v>
          </cell>
          <cell r="D313" t="str">
            <v>GPIO136,此IO口不能做中断功能,可以复用成其它Func,请参考MT8646_GPIO_Application_Spec表格</v>
          </cell>
        </row>
        <row r="314">
          <cell r="B314">
            <v>310</v>
          </cell>
          <cell r="C314" t="str">
            <v>GPIO227</v>
          </cell>
          <cell r="D314" t="str">
            <v>GPIO227,此IO口不能做中断功能,可以复用成其它Func,请参考MT8646_GPIO_Application_Spec表格</v>
          </cell>
        </row>
        <row r="315">
          <cell r="B315">
            <v>311</v>
          </cell>
          <cell r="C315" t="str">
            <v>GPIO231</v>
          </cell>
          <cell r="D315" t="str">
            <v>GPIO231,此IO口不能做中断功能,可以复用成其它Func,请参考MT8646_GPIO_Application_Spec表格</v>
          </cell>
        </row>
        <row r="316">
          <cell r="B316">
            <v>312</v>
          </cell>
          <cell r="C316" t="str">
            <v>SYSRSTB</v>
          </cell>
          <cell r="D316" t="str">
            <v>系统复位,低有效</v>
          </cell>
        </row>
        <row r="317">
          <cell r="B317">
            <v>313</v>
          </cell>
          <cell r="C317" t="str">
            <v>GPIO223</v>
          </cell>
          <cell r="D317" t="str">
            <v>GPIO223,此IO口不能做中断功能,可以复用成其它Func,请参考MT8646_GPIO_Application_Spec表格</v>
          </cell>
        </row>
        <row r="318">
          <cell r="B318">
            <v>314</v>
          </cell>
          <cell r="C318" t="str">
            <v>NC</v>
          </cell>
          <cell r="D318" t="str">
            <v>NC脚，悬空</v>
          </cell>
        </row>
        <row r="319">
          <cell r="B319">
            <v>315</v>
          </cell>
          <cell r="C319" t="str">
            <v>D_GND</v>
          </cell>
        </row>
        <row r="319">
          <cell r="E319" t="str">
            <v>D_GND</v>
          </cell>
        </row>
        <row r="320">
          <cell r="B320">
            <v>316</v>
          </cell>
          <cell r="C320" t="str">
            <v>NC</v>
          </cell>
          <cell r="D320" t="str">
            <v>NC脚，悬空</v>
          </cell>
        </row>
        <row r="321">
          <cell r="B321">
            <v>317</v>
          </cell>
          <cell r="C321" t="str">
            <v>NC</v>
          </cell>
          <cell r="D321" t="str">
            <v>NC脚，悬空</v>
          </cell>
        </row>
        <row r="322">
          <cell r="B322">
            <v>318</v>
          </cell>
          <cell r="C322" t="str">
            <v>VS1_PMIC</v>
          </cell>
          <cell r="D322" t="str">
            <v>AUDIO CODEC芯片的供电，不用请悬空</v>
          </cell>
        </row>
        <row r="323">
          <cell r="B323">
            <v>319</v>
          </cell>
          <cell r="C323" t="str">
            <v>SCP_GPIO_6338_EN</v>
          </cell>
          <cell r="D323" t="str">
            <v>AUDIO CODEC芯片的EN脚，可以复用成其它Func,请参考MT8646_GPIO_Application_Spec表格</v>
          </cell>
        </row>
        <row r="324">
          <cell r="B324">
            <v>320</v>
          </cell>
          <cell r="C324" t="str">
            <v>GPIO230</v>
          </cell>
          <cell r="D324" t="str">
            <v>GPIO230,此IO口不能做中断功能,可以复用成其它Func,请参考MT8646_GPIO_Application_Spec表格</v>
          </cell>
        </row>
        <row r="325">
          <cell r="B325">
            <v>321</v>
          </cell>
          <cell r="C325" t="str">
            <v>GPIO228</v>
          </cell>
          <cell r="D325" t="str">
            <v>GPIO228,此IO口不能做中断功能,可以复用成其它Func,请参考MT8646_GPIO_Application_Spec表格</v>
          </cell>
        </row>
        <row r="326">
          <cell r="B326">
            <v>322</v>
          </cell>
          <cell r="C326" t="str">
            <v>SCL5</v>
          </cell>
          <cell r="D326" t="str">
            <v>I2C5的SCL,可以复用成其它Func,请参考  MT8646_GPIO_Application_Spec表格</v>
          </cell>
        </row>
        <row r="327">
          <cell r="B327">
            <v>323</v>
          </cell>
          <cell r="C327" t="str">
            <v>GPIO135</v>
          </cell>
          <cell r="D327" t="str">
            <v>GPIO135,此IO口不能做中断功能,可以复用成其它Func,请参考MT8646_GPIO_Application_Spec表格</v>
          </cell>
        </row>
        <row r="328">
          <cell r="B328">
            <v>324</v>
          </cell>
          <cell r="C328" t="str">
            <v>AUD_I2C_SCL</v>
          </cell>
          <cell r="D328" t="str">
            <v>AUDIO CODEC芯片的I2C_SCL，可以复用成其它Func,请参考MT8646_GPIO_Application_Spec表格,不用请悬空</v>
          </cell>
        </row>
        <row r="329">
          <cell r="B329">
            <v>325</v>
          </cell>
          <cell r="C329" t="str">
            <v>AUD_I2C_SDA</v>
          </cell>
          <cell r="D329" t="str">
            <v>AUDIO CODEC芯片的I2C_SDA，可以复用成其它Func,请参考MT8646_GPIO_Application_Spec表格,不用请悬空</v>
          </cell>
        </row>
        <row r="330">
          <cell r="B330">
            <v>326</v>
          </cell>
          <cell r="C330" t="str">
            <v>NC</v>
          </cell>
          <cell r="D330" t="str">
            <v>NC脚，悬空</v>
          </cell>
        </row>
        <row r="331">
          <cell r="B331">
            <v>327</v>
          </cell>
          <cell r="C331" t="str">
            <v>AUD_DAT_MISO0</v>
          </cell>
          <cell r="D331" t="str">
            <v>AUDIO CODEC芯片的AUDIO IF接口，AUD_DAT_MISO0，不用请悬空</v>
          </cell>
        </row>
        <row r="332">
          <cell r="B332">
            <v>328</v>
          </cell>
          <cell r="C332" t="str">
            <v>AUD_DAT_MOSI1</v>
          </cell>
          <cell r="D332" t="str">
            <v>此IO专用脚建议NC，在核心板内部是有Boot trapping配置的，非必要尽量优先选择其他IO口替代，也不要做上下拉配置。
AUDIO CODEC芯片的AUDIO IF接口，AUD_DAT_MOSI1，不用请悬空</v>
          </cell>
        </row>
        <row r="333">
          <cell r="B333">
            <v>329</v>
          </cell>
          <cell r="C333" t="str">
            <v>AUD_DAT_MOSI0</v>
          </cell>
          <cell r="D333" t="str">
            <v>此IO专用脚建议NC，在核心板内部是有Boot trapping配置的，非必要尽量优先选择其他IO口替代，也不要做上下拉配置。
AUDIO CODEC芯片的AUDIO IF接口，AUD_DAT_MOSI0，不用请悬空</v>
          </cell>
        </row>
        <row r="334">
          <cell r="B334">
            <v>330</v>
          </cell>
          <cell r="C334" t="str">
            <v>AUD_CLK_MOSI</v>
          </cell>
          <cell r="D334" t="str">
            <v>AUDIO CODEC芯片的AUDIO IF接口，AUD_CLK_MOSI，不用请悬空</v>
          </cell>
        </row>
        <row r="335">
          <cell r="B335">
            <v>331</v>
          </cell>
          <cell r="C335" t="str">
            <v>RTC32K_1V8_F</v>
          </cell>
          <cell r="D335" t="str">
            <v>AUDIO CODEC芯片的RTC_CLK 32KHz，不用请悬空</v>
          </cell>
        </row>
        <row r="336">
          <cell r="B336">
            <v>332</v>
          </cell>
          <cell r="C336" t="str">
            <v>NC</v>
          </cell>
          <cell r="D336" t="str">
            <v>NC脚，悬空</v>
          </cell>
        </row>
        <row r="337">
          <cell r="B337">
            <v>333</v>
          </cell>
          <cell r="C337" t="str">
            <v>SDA5</v>
          </cell>
          <cell r="D337" t="str">
            <v>I2C5的SDA,可以复用成其它Func,请参考  MT8646_GPIO_Application_Spec表格</v>
          </cell>
        </row>
        <row r="338">
          <cell r="B338">
            <v>334</v>
          </cell>
          <cell r="C338" t="str">
            <v>GPIO43_DSI_TE</v>
          </cell>
          <cell r="D338" t="str">
            <v>GPIO43,EINT43,可复用成DSI_TE,请参考  MT8646_GPIO_Application_Spec表格</v>
          </cell>
          <cell r="E338" t="str">
            <v>DSI</v>
          </cell>
        </row>
        <row r="339">
          <cell r="B339">
            <v>335</v>
          </cell>
          <cell r="C339" t="str">
            <v>D_GND</v>
          </cell>
        </row>
        <row r="339">
          <cell r="E339" t="str">
            <v>D_GND</v>
          </cell>
        </row>
        <row r="340">
          <cell r="B340">
            <v>336</v>
          </cell>
          <cell r="C340" t="str">
            <v>NC</v>
          </cell>
          <cell r="D340" t="str">
            <v>NC脚，悬空</v>
          </cell>
        </row>
        <row r="341">
          <cell r="B341">
            <v>337</v>
          </cell>
          <cell r="C341" t="str">
            <v>SCP_EINT_6338</v>
          </cell>
          <cell r="D341" t="str">
            <v>AUDIO CODEC芯片的中断脚，可以复用成其它Func,请参考MT8646_GPIO_Application_Spec表格</v>
          </cell>
        </row>
        <row r="342">
          <cell r="B342">
            <v>338</v>
          </cell>
          <cell r="C342" t="str">
            <v>SRCLKENA0</v>
          </cell>
          <cell r="D342" t="str">
            <v>AUDIO CODEC芯片的待机控制信号脚SRCLKENA0，不用请悬空</v>
          </cell>
        </row>
        <row r="343">
          <cell r="B343">
            <v>339</v>
          </cell>
          <cell r="C343" t="str">
            <v>D_GND</v>
          </cell>
        </row>
        <row r="343">
          <cell r="E343" t="str">
            <v>D_GND</v>
          </cell>
        </row>
        <row r="344">
          <cell r="B344">
            <v>340</v>
          </cell>
          <cell r="C344" t="str">
            <v>D_GND</v>
          </cell>
        </row>
        <row r="344">
          <cell r="E344" t="str">
            <v>D_GND</v>
          </cell>
        </row>
        <row r="345">
          <cell r="B345">
            <v>341</v>
          </cell>
          <cell r="C345" t="str">
            <v>SPI2_MI</v>
          </cell>
          <cell r="D345" t="str">
            <v>SPI2_MI;GPIO13,EINT13;可以复用成其它Func,请参考MT8646_GPIO_Application_Spec表格</v>
          </cell>
        </row>
        <row r="346">
          <cell r="B346">
            <v>342</v>
          </cell>
          <cell r="C346" t="str">
            <v>GPIO60_CTP0_RST</v>
          </cell>
          <cell r="D346" t="str">
            <v>GPIO60,EINT60,可复用成CTP0_RST,请参考  MT8646_GPIO_Application_Spec表格</v>
          </cell>
        </row>
        <row r="347">
          <cell r="B347">
            <v>343</v>
          </cell>
          <cell r="C347" t="str">
            <v>GPIO41_LCM_RST</v>
          </cell>
          <cell r="D347" t="str">
            <v>GPIO41,EINT41,可复用成LCM_RST,请参考  MT8646_GPIO_Application_Spec表格</v>
          </cell>
        </row>
        <row r="348">
          <cell r="B348">
            <v>344</v>
          </cell>
          <cell r="C348" t="str">
            <v>GPIO61_CTP1_RST</v>
          </cell>
          <cell r="D348" t="str">
            <v>GPIO61,EINT61,可复用成CTP1_RST,可以复用成其它Func,请参考MT8646_GPIO_Application_Spec表格</v>
          </cell>
        </row>
        <row r="349">
          <cell r="B349">
            <v>345</v>
          </cell>
          <cell r="C349" t="str">
            <v>EINT10_CTP1</v>
          </cell>
          <cell r="D349" t="str">
            <v>EINT10,GPIO10,建议复用成CTP1的中断,可以复用成其它Func,请参考MT8646_GPIO_Application_Spec表格</v>
          </cell>
        </row>
        <row r="350">
          <cell r="B350">
            <v>346</v>
          </cell>
          <cell r="C350" t="str">
            <v>GPIO3_FMI2S_BCK</v>
          </cell>
          <cell r="D350" t="str">
            <v>FMI2S_BCK,GPIO3,SCP_EINT3,可以复用成其它Func,请参考MT8646_GPIO_Application_Spec表格</v>
          </cell>
        </row>
        <row r="351">
          <cell r="B351">
            <v>347</v>
          </cell>
          <cell r="C351" t="str">
            <v>GPIO42_DSI1_TE</v>
          </cell>
          <cell r="D351" t="str">
            <v>GPIO42,EINT42,可复用成DSI_TE,可以复用成其它Func,请参考MT8646_GPIO_Application_Spec表格</v>
          </cell>
          <cell r="E351" t="str">
            <v>DSI</v>
          </cell>
        </row>
        <row r="352">
          <cell r="B352">
            <v>348</v>
          </cell>
          <cell r="C352" t="str">
            <v>SPI2_MO</v>
          </cell>
          <cell r="D352" t="str">
            <v>SPI2_MO;GPIO14,EINT14;可以复用成其它Func,请参考MT8646_GPIO_Application_Spec表格</v>
          </cell>
        </row>
        <row r="353">
          <cell r="B353">
            <v>349</v>
          </cell>
          <cell r="C353" t="str">
            <v>SPI2_CK</v>
          </cell>
          <cell r="D353" t="str">
            <v>SPI2_CK;GPIO11,EINT11;可以复用成其它Func,请参考MT8646_GPIO_Application_Spec表格</v>
          </cell>
        </row>
        <row r="354">
          <cell r="B354">
            <v>350</v>
          </cell>
          <cell r="C354" t="str">
            <v>SPI2_CSB</v>
          </cell>
          <cell r="D354" t="str">
            <v>SPI2_CSB;GPIO12,EINT12;可以复用成其它Func,请参考MT8646_GPIO_Application_Spec表格</v>
          </cell>
        </row>
        <row r="355">
          <cell r="B355">
            <v>351</v>
          </cell>
          <cell r="C355" t="str">
            <v>EINT9_CTP0</v>
          </cell>
          <cell r="D355" t="str">
            <v>EINT9,GPIO9,建议复用成CTP0的中断,可以复用成其它Func,请参考MT8646_GPIO_Application_Spec表格</v>
          </cell>
        </row>
        <row r="356">
          <cell r="B356">
            <v>352</v>
          </cell>
          <cell r="C356" t="str">
            <v>GPIO40_LCM1_RST</v>
          </cell>
          <cell r="D356" t="str">
            <v>GPIO40,EINT40,可复用成LCM1_RST,可以复用成其它Func,请参考MT8646_GPIO_Application_Spec表格</v>
          </cell>
        </row>
        <row r="357">
          <cell r="B357">
            <v>353</v>
          </cell>
          <cell r="C357" t="str">
            <v>GPIO1_FMI2S_DI</v>
          </cell>
          <cell r="D357" t="str">
            <v>FMI2S_DI，GPIO1,SCP_EINT1,可以复用成其它Func,请参考MT8646_GPIO_Application_Spec表格</v>
          </cell>
        </row>
        <row r="358">
          <cell r="B358">
            <v>354</v>
          </cell>
          <cell r="C358" t="str">
            <v>GPIO178</v>
          </cell>
          <cell r="D358" t="str">
            <v>GPIO178,此IO口不能做中断功能,请参考MT8646_GPIO_Application_Spec表格</v>
          </cell>
        </row>
        <row r="359">
          <cell r="B359">
            <v>355</v>
          </cell>
          <cell r="C359" t="str">
            <v>GPIO183</v>
          </cell>
          <cell r="D359" t="str">
            <v>GPIO183,此IO口不能做中断功能,可以复用成其它Func,请参考MT8646_GPIO_Application_Spec表格</v>
          </cell>
        </row>
        <row r="360">
          <cell r="B360">
            <v>356</v>
          </cell>
          <cell r="C360" t="str">
            <v>GPIO180_URXD3</v>
          </cell>
          <cell r="D360" t="str">
            <v>GPIO183,此IO口不能做中断功能,可以复用成URXD3,请参考MT8646_GPIO_Application_Spec表格</v>
          </cell>
        </row>
        <row r="361">
          <cell r="B361">
            <v>357</v>
          </cell>
          <cell r="C361" t="str">
            <v>GPIO181_UTXD3</v>
          </cell>
          <cell r="D361" t="str">
            <v>GPIO181,此IO口不能做中断功能,可以复用成UTXD3,可以复用成其它Func,请参考MT8646_GPIO_Application_Spec表格</v>
          </cell>
        </row>
        <row r="362">
          <cell r="B362">
            <v>358</v>
          </cell>
          <cell r="C362" t="str">
            <v>GPIO175_PCIE_CLKREQN</v>
          </cell>
          <cell r="D362" t="str">
            <v>GPIO175,此IO口不能做中断功能,可以复用成PCIE_CLKREQN,可以复用成其它Func,请参考MT8646_GPIO_Application_Spec表格</v>
          </cell>
          <cell r="E362" t="str">
            <v>PCIE</v>
          </cell>
        </row>
        <row r="363">
          <cell r="B363">
            <v>359</v>
          </cell>
          <cell r="C363" t="str">
            <v>GPIO182</v>
          </cell>
          <cell r="D363" t="str">
            <v>GPIO182,此IO口不能做中断功能,可以复用成其它Func,请参考MT8646_GPIO_Application_Spec表格</v>
          </cell>
        </row>
        <row r="364">
          <cell r="B364">
            <v>360</v>
          </cell>
          <cell r="C364" t="str">
            <v>GPIO174_PCIE_WAKEN</v>
          </cell>
          <cell r="D364" t="str">
            <v>GPIO174,此IO口不能做中断功能,可以复用成PCIE_WAKEN,可以复用成其它Func,请参考MT8646_GPIO_Application_Spec表格</v>
          </cell>
          <cell r="E364" t="str">
            <v>PCIE</v>
          </cell>
        </row>
        <row r="365">
          <cell r="B365">
            <v>361</v>
          </cell>
          <cell r="C365" t="str">
            <v>GPIO2</v>
          </cell>
          <cell r="D365" t="str">
            <v>GPIO2,SCP EINT2,可以复用成其它Func,请参考MT8646_GPIO_Application_Spec表格</v>
          </cell>
        </row>
        <row r="366">
          <cell r="B366">
            <v>362</v>
          </cell>
          <cell r="C366" t="str">
            <v>SCP_SDA3</v>
          </cell>
          <cell r="D366" t="str">
            <v>SCP_I2C3的SDA;I3C3_SDA,可以复用成其它Func,请参考MT8646_GPIO_Application_Spec表格</v>
          </cell>
        </row>
        <row r="367">
          <cell r="B367">
            <v>363</v>
          </cell>
          <cell r="C367" t="str">
            <v>SCP_SCL3</v>
          </cell>
          <cell r="D367" t="str">
            <v>SCP_I2C3的SCL;I3C3_SCL,可以复用成其它Func,请参考MT8646_GPIO_Application_Spec表格</v>
          </cell>
        </row>
        <row r="368">
          <cell r="B368">
            <v>364</v>
          </cell>
          <cell r="C368" t="str">
            <v>SPI7_MO</v>
          </cell>
          <cell r="D368" t="str">
            <v>SPI7_MO;GPIO57,EINT57;可以复用成其它Func,请参考MT8646_GPIO_Application_Spec表格</v>
          </cell>
        </row>
        <row r="369">
          <cell r="B369">
            <v>365</v>
          </cell>
          <cell r="C369" t="str">
            <v>SPI7_MI</v>
          </cell>
          <cell r="D369" t="str">
            <v>SPI7_MI;GPIO56,EINT56;可以复用成其它Func,请参考MT8646_GPIO_Application_Spec表格</v>
          </cell>
        </row>
        <row r="370">
          <cell r="B370">
            <v>366</v>
          </cell>
          <cell r="C370" t="str">
            <v>SPI7_CSB</v>
          </cell>
          <cell r="D370" t="str">
            <v>SPI7_CSB;GPIO55,EINT55;可以复用成其它Func,请参考MT8646_GPIO_Application_Spec表格</v>
          </cell>
        </row>
        <row r="371">
          <cell r="B371">
            <v>367</v>
          </cell>
          <cell r="C371" t="str">
            <v>SPI7_CK</v>
          </cell>
          <cell r="D371" t="str">
            <v>SPI7_CK;GPIO54,EINT54;可以复用成其它Func,请参考MT8646_GPIO_Application_Spec表格</v>
          </cell>
        </row>
        <row r="372">
          <cell r="B372">
            <v>368</v>
          </cell>
          <cell r="C372" t="str">
            <v>GPIO176</v>
          </cell>
          <cell r="D372" t="str">
            <v>GPIO176,此IO口不能做中断功能,请参考MT8646_GPIO_Application_Spec表格</v>
          </cell>
        </row>
        <row r="373">
          <cell r="B373">
            <v>369</v>
          </cell>
          <cell r="C373" t="str">
            <v>GPIO173_PCIE_PERSTN</v>
          </cell>
          <cell r="D373" t="str">
            <v>GPIO173,此IO口不能做中断功能,可以复用成PCIE_PERSTN,可以复用成其它Func,请参考MT8646_GPIO_Application_Spec表格</v>
          </cell>
          <cell r="E373" t="str">
            <v>PCIE</v>
          </cell>
        </row>
        <row r="374">
          <cell r="B374">
            <v>370</v>
          </cell>
          <cell r="C374" t="str">
            <v>GPIO179</v>
          </cell>
          <cell r="D374" t="str">
            <v>GPIO179,此IO口不能做中断功能,请参考MT8646_GPIO_Application_Spec表格</v>
          </cell>
        </row>
        <row r="375">
          <cell r="B375">
            <v>371</v>
          </cell>
          <cell r="C375" t="str">
            <v>GPIO188</v>
          </cell>
          <cell r="D375" t="str">
            <v>GPIO188,此IO口不能做中断功能,可以复用成其它Func,请参考MT8646_GPIO_Application_Spec表格</v>
          </cell>
        </row>
        <row r="376">
          <cell r="B376">
            <v>372</v>
          </cell>
          <cell r="C376" t="str">
            <v>GPIO177</v>
          </cell>
          <cell r="D376" t="str">
            <v>GPIO177,此IO口不能做中断功能,请参考MT8646_GPIO_Application_Spec表格</v>
          </cell>
        </row>
        <row r="377">
          <cell r="B377">
            <v>373</v>
          </cell>
          <cell r="C377" t="str">
            <v>GPIO169_UTXD1</v>
          </cell>
          <cell r="D377" t="str">
            <v>GPIO169,此IO口不能做中断功能,可以复用成UTXD1,以及SCP_I3C2_SCL,可以复用成其它Func,请参考MT8646_GPIO_Application_Spec表格</v>
          </cell>
        </row>
        <row r="378">
          <cell r="B378">
            <v>374</v>
          </cell>
          <cell r="C378" t="str">
            <v>GPIO170_URXD1</v>
          </cell>
          <cell r="D378" t="str">
            <v>GPIO170,此IO口不能做中断功能,可以复用成URXD1,以及SCP_I3C2_SDA,可以复用成其它Func,请参考MT8646_GPIO_Application_Spec表格</v>
          </cell>
        </row>
        <row r="379">
          <cell r="B379">
            <v>375</v>
          </cell>
          <cell r="C379" t="str">
            <v>GPIO59_INT_SIM2</v>
          </cell>
          <cell r="D379" t="str">
            <v>GPIO59,EINT59,可复用成INT_SIM2,可以复用成其它Func,请参考MT8646_GPIO_Application_Spec表格</v>
          </cell>
          <cell r="E379" t="str">
            <v>SIM</v>
          </cell>
        </row>
        <row r="380">
          <cell r="B380">
            <v>376</v>
          </cell>
          <cell r="C380" t="str">
            <v>D_GND</v>
          </cell>
        </row>
        <row r="380">
          <cell r="E380" t="str">
            <v>D_GND</v>
          </cell>
        </row>
        <row r="381">
          <cell r="B381">
            <v>377</v>
          </cell>
          <cell r="C381" t="str">
            <v>NC</v>
          </cell>
          <cell r="D381" t="str">
            <v>NC脚，悬空</v>
          </cell>
        </row>
        <row r="382">
          <cell r="B382">
            <v>378</v>
          </cell>
          <cell r="C382" t="str">
            <v>GPIO128_CAM_CLK5</v>
          </cell>
          <cell r="D382" t="str">
            <v>默认配置是CAM_CLK5,若要复用成GPIO128请注意修改软件配置，此IO口不能做中断功能；可以复用成其它Func,请参考MT8646_GPIO_Application_Spec表格</v>
          </cell>
        </row>
        <row r="383">
          <cell r="B383">
            <v>379</v>
          </cell>
          <cell r="C383" t="str">
            <v>GPIO124_CAM_CLK1</v>
          </cell>
          <cell r="D383" t="str">
            <v>默认配置是CAM_CLK1,若要复用成GPIO124请注意修改软件配置，此IO口不能做中断功能；可以复用成其它Func,请参考MT8646_GPIO_Application_Spec表格</v>
          </cell>
        </row>
        <row r="384">
          <cell r="B384">
            <v>380</v>
          </cell>
          <cell r="C384" t="str">
            <v>D_GND</v>
          </cell>
        </row>
        <row r="384">
          <cell r="E384" t="str">
            <v>D_GND</v>
          </cell>
        </row>
        <row r="385">
          <cell r="B385">
            <v>381</v>
          </cell>
          <cell r="C385" t="str">
            <v>D_GND</v>
          </cell>
        </row>
        <row r="385">
          <cell r="E385" t="str">
            <v>D_GND</v>
          </cell>
        </row>
        <row r="386">
          <cell r="B386">
            <v>382</v>
          </cell>
          <cell r="C386" t="str">
            <v>GPIO127_CAM_CLK4</v>
          </cell>
          <cell r="D386" t="str">
            <v>默认配置是CAM_CLK4,若要复用成GPIO127请注意修改软件配置，此IO口不能做中断功能；可以复用成其它Func,请参考MT8646_GPIO_Application_Spec表格</v>
          </cell>
        </row>
        <row r="387">
          <cell r="B387">
            <v>383</v>
          </cell>
          <cell r="C387" t="str">
            <v>GPIO123_CAM_CLK0</v>
          </cell>
          <cell r="D387" t="str">
            <v>默认配置是CAM_CLK0,若要复用成GPIO123请注意修改软件配置，此IO口不能做中断功能；可以复用成其它Func,请参考MT8646_GPIO_Application_Spec表格</v>
          </cell>
        </row>
        <row r="388">
          <cell r="B388">
            <v>384</v>
          </cell>
          <cell r="C388" t="str">
            <v>D_GND</v>
          </cell>
        </row>
        <row r="388">
          <cell r="E388" t="str">
            <v>D_GND</v>
          </cell>
        </row>
        <row r="389">
          <cell r="B389">
            <v>385</v>
          </cell>
          <cell r="C389" t="str">
            <v>NC</v>
          </cell>
          <cell r="D389" t="str">
            <v>NC脚，悬空</v>
          </cell>
        </row>
        <row r="390">
          <cell r="B390">
            <v>386</v>
          </cell>
          <cell r="C390" t="str">
            <v>NC</v>
          </cell>
          <cell r="D390" t="str">
            <v>NC脚，悬空</v>
          </cell>
        </row>
        <row r="391">
          <cell r="B391">
            <v>387</v>
          </cell>
          <cell r="C391" t="str">
            <v>NC</v>
          </cell>
          <cell r="D391" t="str">
            <v>NC脚，悬空</v>
          </cell>
        </row>
        <row r="392">
          <cell r="B392">
            <v>388</v>
          </cell>
          <cell r="C392" t="str">
            <v>NC</v>
          </cell>
          <cell r="D392" t="str">
            <v>NC脚，悬空</v>
          </cell>
        </row>
        <row r="393">
          <cell r="B393">
            <v>389</v>
          </cell>
          <cell r="C393" t="str">
            <v>NC</v>
          </cell>
          <cell r="D393" t="str">
            <v>NC脚，悬空</v>
          </cell>
        </row>
        <row r="394">
          <cell r="B394">
            <v>390</v>
          </cell>
          <cell r="C394" t="str">
            <v>D_GND</v>
          </cell>
        </row>
        <row r="394">
          <cell r="E394" t="str">
            <v>D_GND</v>
          </cell>
        </row>
        <row r="395">
          <cell r="B395">
            <v>391</v>
          </cell>
          <cell r="C395" t="str">
            <v>NC</v>
          </cell>
          <cell r="D395" t="str">
            <v>NC脚，悬空</v>
          </cell>
        </row>
        <row r="396">
          <cell r="B396">
            <v>392</v>
          </cell>
          <cell r="C396" t="str">
            <v>NC</v>
          </cell>
          <cell r="D396" t="str">
            <v>NC脚，悬空</v>
          </cell>
        </row>
        <row r="397">
          <cell r="B397">
            <v>393</v>
          </cell>
          <cell r="C397" t="str">
            <v>NC</v>
          </cell>
          <cell r="D397" t="str">
            <v>NC脚，悬空</v>
          </cell>
        </row>
        <row r="398">
          <cell r="B398">
            <v>394</v>
          </cell>
          <cell r="C398" t="str">
            <v>NC</v>
          </cell>
          <cell r="D398" t="str">
            <v>NC脚，悬空</v>
          </cell>
        </row>
        <row r="399">
          <cell r="B399">
            <v>395</v>
          </cell>
          <cell r="C399" t="str">
            <v>BBCK5</v>
          </cell>
          <cell r="D399" t="str">
            <v>AUDIO CODEC芯片的26Mhz时钟输入，MT6685的26Mhz时钟输出，不用请悬空</v>
          </cell>
        </row>
        <row r="400">
          <cell r="B400">
            <v>396</v>
          </cell>
          <cell r="C400" t="str">
            <v>D_GND</v>
          </cell>
        </row>
        <row r="400">
          <cell r="E400" t="str">
            <v>D_GND</v>
          </cell>
        </row>
        <row r="401">
          <cell r="B401">
            <v>397</v>
          </cell>
          <cell r="C401" t="str">
            <v>D_GND</v>
          </cell>
        </row>
        <row r="401">
          <cell r="E401" t="str">
            <v>D_GND</v>
          </cell>
        </row>
        <row r="402">
          <cell r="B402">
            <v>398</v>
          </cell>
          <cell r="C402" t="str">
            <v>NC</v>
          </cell>
          <cell r="D402" t="str">
            <v>NC脚，悬空</v>
          </cell>
        </row>
        <row r="403">
          <cell r="B403">
            <v>399</v>
          </cell>
          <cell r="C403" t="str">
            <v>D_GND</v>
          </cell>
        </row>
        <row r="403">
          <cell r="E403" t="str">
            <v>D_GND</v>
          </cell>
        </row>
        <row r="404">
          <cell r="B404">
            <v>400</v>
          </cell>
          <cell r="C404" t="str">
            <v>D_GND</v>
          </cell>
        </row>
        <row r="404">
          <cell r="E404" t="str">
            <v>D_GND</v>
          </cell>
        </row>
        <row r="405">
          <cell r="B405">
            <v>401</v>
          </cell>
          <cell r="C405" t="str">
            <v>D_GND</v>
          </cell>
        </row>
        <row r="405">
          <cell r="E405" t="str">
            <v>D_GND</v>
          </cell>
        </row>
        <row r="406">
          <cell r="B406">
            <v>402</v>
          </cell>
          <cell r="C406" t="str">
            <v>D_GND</v>
          </cell>
        </row>
        <row r="406">
          <cell r="E406" t="str">
            <v>D_GND</v>
          </cell>
        </row>
        <row r="407">
          <cell r="B407">
            <v>403</v>
          </cell>
          <cell r="C407" t="str">
            <v>WIFI_BT_ANT1</v>
          </cell>
          <cell r="D407" t="str">
            <v>WIFI_BT天线1</v>
          </cell>
        </row>
        <row r="408">
          <cell r="B408">
            <v>404</v>
          </cell>
          <cell r="C408" t="str">
            <v>D_GND</v>
          </cell>
        </row>
        <row r="408">
          <cell r="E408" t="str">
            <v>D_GND</v>
          </cell>
        </row>
        <row r="409">
          <cell r="B409">
            <v>405</v>
          </cell>
          <cell r="C409" t="str">
            <v>GPIO119_CAM_RST4</v>
          </cell>
          <cell r="D409" t="str">
            <v>GPIO119,EINT119,可以复用成CAM_RST4,可以复用成其它Func,请参考MT8646_GPIO_Application_Spec表格</v>
          </cell>
        </row>
        <row r="410">
          <cell r="B410">
            <v>406</v>
          </cell>
          <cell r="C410" t="str">
            <v>GPIO115_CAM_RST0</v>
          </cell>
          <cell r="D410" t="str">
            <v>GPIO115,EINT115,可以复用成CAM_RST0,可以复用成其它Func,请参考MT8646_GPIO_Application_Spec表格</v>
          </cell>
        </row>
        <row r="411">
          <cell r="B411">
            <v>407</v>
          </cell>
          <cell r="C411" t="str">
            <v>GPIO186_I2SIN6_0_DI</v>
          </cell>
          <cell r="D411" t="str">
            <v>GPIO186,此IO口不能做中断功能,可以复用成I2S6_DI,可以复用成其它Func,请参考MT8646_GPIO_Application_Spec表格</v>
          </cell>
        </row>
        <row r="412">
          <cell r="B412">
            <v>408</v>
          </cell>
          <cell r="C412" t="str">
            <v>PCIE_LN0_TXP</v>
          </cell>
          <cell r="D412" t="str">
            <v>PCIE_LN0的TXP</v>
          </cell>
          <cell r="E412" t="str">
            <v>PCIE</v>
          </cell>
        </row>
        <row r="413">
          <cell r="B413">
            <v>409</v>
          </cell>
          <cell r="C413" t="str">
            <v>PCIE_LN0_TXN</v>
          </cell>
          <cell r="D413" t="str">
            <v>PCIE_LN0的TXN</v>
          </cell>
          <cell r="E413" t="str">
            <v>PCIE</v>
          </cell>
        </row>
        <row r="414">
          <cell r="B414">
            <v>410</v>
          </cell>
          <cell r="C414" t="str">
            <v>D_GND</v>
          </cell>
        </row>
        <row r="414">
          <cell r="E414" t="str">
            <v>D_GND</v>
          </cell>
        </row>
        <row r="415">
          <cell r="B415">
            <v>411</v>
          </cell>
          <cell r="C415" t="str">
            <v>D_GND</v>
          </cell>
        </row>
        <row r="415">
          <cell r="E415" t="str">
            <v>D_GND</v>
          </cell>
        </row>
        <row r="416">
          <cell r="B416">
            <v>412</v>
          </cell>
          <cell r="C416" t="str">
            <v>WIFI_BT_ANT0</v>
          </cell>
          <cell r="D416" t="str">
            <v>WIFI_BT天线0</v>
          </cell>
        </row>
        <row r="417">
          <cell r="B417">
            <v>413</v>
          </cell>
          <cell r="C417" t="str">
            <v>D_GND</v>
          </cell>
        </row>
        <row r="417">
          <cell r="E417" t="str">
            <v>D_GND</v>
          </cell>
        </row>
        <row r="418">
          <cell r="B418">
            <v>414</v>
          </cell>
          <cell r="C418" t="str">
            <v>PCIE_LN0_RXN</v>
          </cell>
          <cell r="D418" t="str">
            <v>PCIE_LN0的RXN</v>
          </cell>
          <cell r="E418" t="str">
            <v>PCIE</v>
          </cell>
        </row>
        <row r="419">
          <cell r="B419">
            <v>415</v>
          </cell>
          <cell r="C419" t="str">
            <v>PCIE_LN0_RXP</v>
          </cell>
          <cell r="D419" t="str">
            <v>PCIE_LN0的RXP</v>
          </cell>
          <cell r="E419" t="str">
            <v>PCIE</v>
          </cell>
        </row>
        <row r="420">
          <cell r="B420">
            <v>416</v>
          </cell>
          <cell r="C420" t="str">
            <v>GPIO184_I2SIN6_0_BCK</v>
          </cell>
          <cell r="D420" t="str">
            <v>GPIO184,此IO口不能做中断功能,可以复用成I2S6_BCK,可以复用成其它Func,请参考MT8646_GPIO_Application_Spec表格</v>
          </cell>
        </row>
        <row r="421">
          <cell r="B421">
            <v>417</v>
          </cell>
          <cell r="C421" t="str">
            <v>GPIO187_I2SOUT6_0_DO</v>
          </cell>
          <cell r="D421" t="str">
            <v>GPIO187,此IO口不能做中断功能,可以复用成I2S6_DO,可以复用成其它Func,请参考MT8646_GPIO_Application_Spec表格</v>
          </cell>
        </row>
        <row r="422">
          <cell r="B422">
            <v>418</v>
          </cell>
          <cell r="C422" t="str">
            <v>GPIO185_I2SIN6_0_LRCK</v>
          </cell>
          <cell r="D422" t="str">
            <v>GPIO185,此IO口不能做中断功能,可以复用成I2S6_LRCK,可以复用成其它Func,请参考MT8646_GPIO_Application_Spec表格</v>
          </cell>
        </row>
        <row r="423">
          <cell r="B423">
            <v>419</v>
          </cell>
          <cell r="C423" t="str">
            <v>SCL10</v>
          </cell>
          <cell r="D423" t="str">
            <v>I2C10的SCL,可以复用成其它Func,请参考  MT8646_GPIO_Application_Spec表格</v>
          </cell>
        </row>
        <row r="424">
          <cell r="B424">
            <v>420</v>
          </cell>
          <cell r="C424" t="str">
            <v>PCIE_CKP</v>
          </cell>
          <cell r="D424" t="str">
            <v>PCIE的CKP</v>
          </cell>
          <cell r="E424" t="str">
            <v>PCIE</v>
          </cell>
        </row>
        <row r="425">
          <cell r="B425">
            <v>421</v>
          </cell>
          <cell r="C425" t="str">
            <v>PCIE_CKN</v>
          </cell>
          <cell r="D425" t="str">
            <v>PCIE的CKN</v>
          </cell>
          <cell r="E425" t="str">
            <v>PCIE</v>
          </cell>
        </row>
        <row r="426">
          <cell r="B426">
            <v>422</v>
          </cell>
          <cell r="C426" t="str">
            <v>D_GND</v>
          </cell>
        </row>
        <row r="426">
          <cell r="E426" t="str">
            <v>D_GND</v>
          </cell>
        </row>
        <row r="427">
          <cell r="B427">
            <v>423</v>
          </cell>
          <cell r="C427" t="str">
            <v>D_GND</v>
          </cell>
        </row>
        <row r="427">
          <cell r="E427" t="str">
            <v>D_GND</v>
          </cell>
        </row>
        <row r="428">
          <cell r="B428">
            <v>424</v>
          </cell>
          <cell r="C428" t="str">
            <v>GPS_ANT</v>
          </cell>
          <cell r="D428" t="str">
            <v>GPS天线</v>
          </cell>
        </row>
        <row r="429">
          <cell r="B429">
            <v>425</v>
          </cell>
          <cell r="C429" t="str">
            <v>D_GND</v>
          </cell>
        </row>
        <row r="429">
          <cell r="E429" t="str">
            <v>D_GND</v>
          </cell>
        </row>
        <row r="430">
          <cell r="B430">
            <v>426</v>
          </cell>
          <cell r="C430" t="str">
            <v>NC</v>
          </cell>
          <cell r="D430" t="str">
            <v>NC脚，悬空</v>
          </cell>
        </row>
        <row r="431">
          <cell r="B431">
            <v>427</v>
          </cell>
          <cell r="C431" t="str">
            <v>NC</v>
          </cell>
          <cell r="D431" t="str">
            <v>NC脚，悬空</v>
          </cell>
        </row>
        <row r="432">
          <cell r="B432">
            <v>428</v>
          </cell>
          <cell r="C432" t="str">
            <v>SDA10</v>
          </cell>
          <cell r="D432" t="str">
            <v>I2C10的SDA,可以复用成其它Func,请参考  MT8646_GPIO_Application_Spec表格</v>
          </cell>
        </row>
        <row r="433">
          <cell r="B433">
            <v>429</v>
          </cell>
          <cell r="C433" t="str">
            <v>GPIO120_CAM_RST5</v>
          </cell>
          <cell r="D433" t="str">
            <v>GPIO120,EINT120;可以复用成其它Func,请参考MT8646_GPIO_Application_Spec表格</v>
          </cell>
        </row>
        <row r="434">
          <cell r="B434">
            <v>430</v>
          </cell>
          <cell r="C434" t="str">
            <v>GPIO189</v>
          </cell>
          <cell r="D434" t="str">
            <v>GPIO189,此IO口不能做中断功能,可以复用成其它Func,请参考MT8646_GPIO_Application_Spec表格</v>
          </cell>
        </row>
        <row r="435">
          <cell r="B435">
            <v>431</v>
          </cell>
          <cell r="C435" t="str">
            <v>GPIO220</v>
          </cell>
          <cell r="D435" t="str">
            <v>GPIO220,此IO口不能做中断功能,可以复用成其它Func,请参考MT8646_GPIO_Application_Spec表格</v>
          </cell>
        </row>
        <row r="436">
          <cell r="B436">
            <v>432</v>
          </cell>
          <cell r="C436" t="str">
            <v>NC</v>
          </cell>
          <cell r="D436" t="str">
            <v>NC脚，悬空</v>
          </cell>
        </row>
        <row r="437">
          <cell r="B437">
            <v>433</v>
          </cell>
          <cell r="C437" t="str">
            <v>NC</v>
          </cell>
          <cell r="D437" t="str">
            <v>NC脚，悬空</v>
          </cell>
        </row>
        <row r="438">
          <cell r="B438">
            <v>434</v>
          </cell>
          <cell r="C438" t="str">
            <v>D_GND</v>
          </cell>
        </row>
        <row r="438">
          <cell r="E438" t="str">
            <v>D_GND</v>
          </cell>
        </row>
        <row r="439">
          <cell r="B439">
            <v>435</v>
          </cell>
          <cell r="C439" t="str">
            <v>D_GND</v>
          </cell>
        </row>
        <row r="439">
          <cell r="E439" t="str">
            <v>D_GND</v>
          </cell>
        </row>
        <row r="440">
          <cell r="B440">
            <v>436</v>
          </cell>
          <cell r="C440" t="str">
            <v>CSI5A_RDN0</v>
          </cell>
          <cell r="D440" t="str">
            <v>MIPI CSI5A的DATA0-N</v>
          </cell>
          <cell r="E440" t="str">
            <v>CSI</v>
          </cell>
        </row>
        <row r="441">
          <cell r="B441">
            <v>437</v>
          </cell>
          <cell r="C441" t="str">
            <v>CSI5A_RDP0</v>
          </cell>
          <cell r="D441" t="str">
            <v>MIPI CSI5A的DATA0-P</v>
          </cell>
          <cell r="E441" t="str">
            <v>CSI</v>
          </cell>
        </row>
        <row r="442">
          <cell r="B442">
            <v>438</v>
          </cell>
          <cell r="C442" t="str">
            <v>CSI5A_RDN2</v>
          </cell>
          <cell r="D442" t="str">
            <v>MIPI CSI5A的DATA2-N</v>
          </cell>
          <cell r="E442" t="str">
            <v>CSI</v>
          </cell>
        </row>
        <row r="443">
          <cell r="B443">
            <v>439</v>
          </cell>
          <cell r="C443" t="str">
            <v>CSI5A_RDP2</v>
          </cell>
          <cell r="D443" t="str">
            <v>MIPI CSI5A的DATA2-P</v>
          </cell>
          <cell r="E443" t="str">
            <v>CSI</v>
          </cell>
        </row>
        <row r="444">
          <cell r="B444">
            <v>440</v>
          </cell>
          <cell r="C444" t="str">
            <v>GPIO116_CAM_RST1</v>
          </cell>
          <cell r="D444" t="str">
            <v>GPIO116,EINT116;可以复用成CAM_RST1,可以复用成其它Func,请参考MT8646_GPIO_Application_Spec表格</v>
          </cell>
        </row>
        <row r="445">
          <cell r="B445">
            <v>441</v>
          </cell>
          <cell r="C445" t="str">
            <v>SCL11</v>
          </cell>
          <cell r="D445" t="str">
            <v>I2C11的SCL,可以复用成其它Func,请参考  MT8646_GPIO_Application_Spec表格</v>
          </cell>
        </row>
        <row r="446">
          <cell r="B446">
            <v>442</v>
          </cell>
          <cell r="C446" t="str">
            <v>SDA11</v>
          </cell>
          <cell r="D446" t="str">
            <v>I2C11的SCL,可以复用成其它Func,请参考  MT8646_GPIO_Application_Spec表格</v>
          </cell>
        </row>
        <row r="447">
          <cell r="B447">
            <v>443</v>
          </cell>
          <cell r="C447" t="str">
            <v>SCL4</v>
          </cell>
          <cell r="D447" t="str">
            <v>I2C4的SCL,I3C4的SCL,可以复用成其它Func,请参考  MT8646_GPIO_Application_Spec表格</v>
          </cell>
        </row>
        <row r="448">
          <cell r="B448">
            <v>444</v>
          </cell>
          <cell r="C448" t="str">
            <v>CSI5A_RCP</v>
          </cell>
          <cell r="D448" t="str">
            <v>MIPI CSI5A的CLK-P</v>
          </cell>
          <cell r="E448" t="str">
            <v>CSI</v>
          </cell>
        </row>
        <row r="449">
          <cell r="B449">
            <v>445</v>
          </cell>
          <cell r="C449" t="str">
            <v>CSI5A_RCN</v>
          </cell>
          <cell r="D449" t="str">
            <v>MIPI CSI5A的CLK-N</v>
          </cell>
          <cell r="E449" t="str">
            <v>CSI</v>
          </cell>
        </row>
        <row r="450">
          <cell r="B450">
            <v>446</v>
          </cell>
          <cell r="C450" t="str">
            <v>CSI5B_RDP1</v>
          </cell>
          <cell r="D450" t="str">
            <v>MIPI CSI5B的DATA1-P</v>
          </cell>
          <cell r="E450" t="str">
            <v>CSI</v>
          </cell>
        </row>
        <row r="451">
          <cell r="B451">
            <v>447</v>
          </cell>
          <cell r="C451" t="str">
            <v>CSI5B_RDN1</v>
          </cell>
          <cell r="D451" t="str">
            <v>MIPI CSI5B的DATA1-N</v>
          </cell>
          <cell r="E451" t="str">
            <v>CSI</v>
          </cell>
        </row>
        <row r="452">
          <cell r="B452">
            <v>448</v>
          </cell>
          <cell r="C452" t="str">
            <v>CSI4A_RDN0</v>
          </cell>
          <cell r="D452" t="str">
            <v>MIPI CSI4A的DATA0-N</v>
          </cell>
          <cell r="E452" t="str">
            <v>CSI</v>
          </cell>
        </row>
        <row r="453">
          <cell r="B453">
            <v>449</v>
          </cell>
          <cell r="C453" t="str">
            <v>CSI4A_RDP0</v>
          </cell>
          <cell r="D453" t="str">
            <v>MIPI CSI4A的DATA0-P</v>
          </cell>
          <cell r="E453" t="str">
            <v>CSI</v>
          </cell>
        </row>
        <row r="454">
          <cell r="B454">
            <v>450</v>
          </cell>
          <cell r="C454" t="str">
            <v>CSI5B_RDN3</v>
          </cell>
          <cell r="D454" t="str">
            <v>MIPI CSI5B的DATA3-N</v>
          </cell>
          <cell r="E454" t="str">
            <v>CSI</v>
          </cell>
        </row>
        <row r="455">
          <cell r="B455">
            <v>451</v>
          </cell>
          <cell r="C455" t="str">
            <v>CSI5B_RDP3</v>
          </cell>
          <cell r="D455" t="str">
            <v>MIPI CSI5B的DATA3-P</v>
          </cell>
          <cell r="E455" t="str">
            <v>CSI</v>
          </cell>
        </row>
        <row r="456">
          <cell r="B456">
            <v>452</v>
          </cell>
          <cell r="C456" t="str">
            <v>SDA4</v>
          </cell>
          <cell r="D456" t="str">
            <v>I2C4的SDA,I3C4的SDA,可以复用成其它Func,请参考  MT8646_GPIO_Application_Spec表格</v>
          </cell>
        </row>
        <row r="457">
          <cell r="B457">
            <v>453</v>
          </cell>
          <cell r="C457" t="str">
            <v>SDA2</v>
          </cell>
          <cell r="D457" t="str">
            <v>I2C2的SDA,可以复用成其它Func,请参考  MT8646_GPIO_Application_Spec表格</v>
          </cell>
        </row>
        <row r="458">
          <cell r="B458">
            <v>454</v>
          </cell>
          <cell r="C458" t="str">
            <v>SCL2</v>
          </cell>
          <cell r="D458" t="str">
            <v>I2C2的SCL,可以复用成其它Func,请参考  MT8646_GPIO_Application_Spec表格</v>
          </cell>
        </row>
        <row r="459">
          <cell r="B459">
            <v>455</v>
          </cell>
          <cell r="C459" t="str">
            <v>D_GND</v>
          </cell>
        </row>
        <row r="459">
          <cell r="E459" t="str">
            <v>D_GND</v>
          </cell>
        </row>
        <row r="460">
          <cell r="B460">
            <v>456</v>
          </cell>
          <cell r="C460" t="str">
            <v>CSI4A_RDP2</v>
          </cell>
          <cell r="D460" t="str">
            <v>MIPI CSI4A的DATA2-P</v>
          </cell>
          <cell r="E460" t="str">
            <v>CSI</v>
          </cell>
        </row>
        <row r="461">
          <cell r="B461">
            <v>457</v>
          </cell>
          <cell r="C461" t="str">
            <v>CSI4A_RDN2</v>
          </cell>
          <cell r="D461" t="str">
            <v>MIPI CSI4A的DATA2-N</v>
          </cell>
          <cell r="E461" t="str">
            <v>CSI</v>
          </cell>
        </row>
        <row r="462">
          <cell r="B462">
            <v>458</v>
          </cell>
          <cell r="C462" t="str">
            <v>CSI4B_RDP1</v>
          </cell>
          <cell r="D462" t="str">
            <v>MIPI CSI4B的DATA1-P</v>
          </cell>
          <cell r="E462" t="str">
            <v>CSI</v>
          </cell>
        </row>
        <row r="463">
          <cell r="B463">
            <v>459</v>
          </cell>
          <cell r="C463" t="str">
            <v>CSI4B_RDN1</v>
          </cell>
          <cell r="D463" t="str">
            <v>MIPI CSI4B的DATA1-N</v>
          </cell>
          <cell r="E463" t="str">
            <v>CSI</v>
          </cell>
        </row>
        <row r="464">
          <cell r="B464">
            <v>460</v>
          </cell>
          <cell r="C464" t="str">
            <v>CSI4B_RDN3</v>
          </cell>
          <cell r="D464" t="str">
            <v>MIPI CSI4B的DATA3-N</v>
          </cell>
          <cell r="E464" t="str">
            <v>CSI</v>
          </cell>
        </row>
        <row r="465">
          <cell r="B465">
            <v>461</v>
          </cell>
          <cell r="C465" t="str">
            <v>CSI4B_RDP3</v>
          </cell>
          <cell r="D465" t="str">
            <v>MIPI CSI4B的DATA3-P</v>
          </cell>
          <cell r="E465" t="str">
            <v>CSI</v>
          </cell>
        </row>
        <row r="466">
          <cell r="B466">
            <v>462</v>
          </cell>
          <cell r="C466" t="str">
            <v>CSI4A_RCN</v>
          </cell>
          <cell r="D466" t="str">
            <v>MIPI CSI4A的CLK-P</v>
          </cell>
          <cell r="E466" t="str">
            <v>CSI</v>
          </cell>
        </row>
        <row r="467">
          <cell r="B467">
            <v>463</v>
          </cell>
          <cell r="C467" t="str">
            <v>CSI4A_RCP</v>
          </cell>
          <cell r="D467" t="str">
            <v>MIPI CSI4A的CLK-N</v>
          </cell>
          <cell r="E467" t="str">
            <v>CSI</v>
          </cell>
        </row>
        <row r="468">
          <cell r="B468">
            <v>464</v>
          </cell>
          <cell r="C468" t="str">
            <v>GPIO221</v>
          </cell>
          <cell r="D468" t="str">
            <v>GPIO221,此IO口不能做中断功能,可以复用成其它Func,请参考MT8646_GPIO_Application_Spec表格</v>
          </cell>
        </row>
        <row r="469">
          <cell r="B469">
            <v>465</v>
          </cell>
          <cell r="C469" t="str">
            <v>SPI1_CK</v>
          </cell>
          <cell r="D469" t="str">
            <v>SPI1_CK;GPIO50,EINT50;可以复用成其它Func,请参考MT8646_GPIO_Application_Spec表格</v>
          </cell>
        </row>
        <row r="470">
          <cell r="B470">
            <v>466</v>
          </cell>
          <cell r="C470" t="str">
            <v>SPI1_CSB</v>
          </cell>
          <cell r="D470" t="str">
            <v>SPI1_CSB;GPIO51,EINT51;可以复用成其它Func,请参考MT8646_GPIO_Application_Spec表格</v>
          </cell>
        </row>
        <row r="471">
          <cell r="B471">
            <v>467</v>
          </cell>
          <cell r="C471" t="str">
            <v>GPIO79_MSDC2_CMD</v>
          </cell>
          <cell r="D471" t="str">
            <v>GPIO79,EINT79,可以复用成MSDC2_CMD,可以复用成其它Func,请参考MT8646_GPIO_Application_Spec表格</v>
          </cell>
          <cell r="E471" t="str">
            <v>SD</v>
          </cell>
        </row>
        <row r="472">
          <cell r="B472">
            <v>468</v>
          </cell>
          <cell r="C472" t="str">
            <v>GPIO44</v>
          </cell>
          <cell r="D472" t="str">
            <v>GPIO44,EINT44;可以复用成其它Func,请参考MT8646_GPIO_Application_Spec表格</v>
          </cell>
        </row>
        <row r="473">
          <cell r="B473">
            <v>469</v>
          </cell>
          <cell r="C473" t="str">
            <v>GPIO45</v>
          </cell>
          <cell r="D473" t="str">
            <v>GPIO45,EINT45,可以复用成其它Func,请参考MT8646_GPIO_Application_Spec表格</v>
          </cell>
        </row>
        <row r="474">
          <cell r="B474">
            <v>470</v>
          </cell>
          <cell r="C474" t="str">
            <v>D_GND</v>
          </cell>
        </row>
        <row r="474">
          <cell r="E474" t="str">
            <v>D_GND</v>
          </cell>
        </row>
        <row r="475">
          <cell r="B475">
            <v>471</v>
          </cell>
          <cell r="C475" t="str">
            <v>D_GND</v>
          </cell>
        </row>
        <row r="475">
          <cell r="E475" t="str">
            <v>D_GND</v>
          </cell>
        </row>
        <row r="476">
          <cell r="B476">
            <v>472</v>
          </cell>
          <cell r="C476" t="str">
            <v>CSI3A_RDP0</v>
          </cell>
          <cell r="D476" t="str">
            <v>MIPI CSI3A的DATA0-P</v>
          </cell>
          <cell r="E476" t="str">
            <v>CSI</v>
          </cell>
        </row>
        <row r="477">
          <cell r="B477">
            <v>473</v>
          </cell>
          <cell r="C477" t="str">
            <v>CSI3A_RDN0</v>
          </cell>
          <cell r="D477" t="str">
            <v>MIPI CSI3A的DATA0-N</v>
          </cell>
          <cell r="E477" t="str">
            <v>CSI</v>
          </cell>
        </row>
        <row r="478">
          <cell r="B478">
            <v>474</v>
          </cell>
          <cell r="C478" t="str">
            <v>SPI0_MO</v>
          </cell>
          <cell r="D478" t="str">
            <v>SPI0_MO;GPIO49,EINT49;可以复用成其它Func,请参考MT8646_GPIO_Application_Spec表格</v>
          </cell>
        </row>
        <row r="479">
          <cell r="B479">
            <v>475</v>
          </cell>
          <cell r="C479" t="str">
            <v>GPIO78_MSDC2_CLK</v>
          </cell>
          <cell r="D479" t="str">
            <v>GPIO78,EINT78,可以复用成MSDC2_CLK,可以复用成其它Func,请参考MT8646_GPIO_Application_Spec表格</v>
          </cell>
          <cell r="E479" t="str">
            <v>SD</v>
          </cell>
        </row>
        <row r="480">
          <cell r="B480">
            <v>476</v>
          </cell>
          <cell r="C480" t="str">
            <v>GPIO80_MSDC2_DATA0</v>
          </cell>
          <cell r="D480" t="str">
            <v>GPIO80,EINT80,可以复用成MSDC2_DATA0,可以复用成其它Func,请参考MT8646_GPIO_Application_Spec表格</v>
          </cell>
          <cell r="E480" t="str">
            <v>SD</v>
          </cell>
        </row>
        <row r="481">
          <cell r="B481">
            <v>477</v>
          </cell>
          <cell r="C481" t="str">
            <v>SPI1_MO</v>
          </cell>
          <cell r="D481" t="str">
            <v>SPI1_MO;GPIO53,EINT53;可以复用成其它Func,请参考MT8646_GPIO_Application_Spec表格</v>
          </cell>
        </row>
        <row r="482">
          <cell r="B482">
            <v>478</v>
          </cell>
          <cell r="C482" t="str">
            <v>SPI1_MI</v>
          </cell>
          <cell r="D482" t="str">
            <v>SPI1_MI;GPIO52,EINT52;可以复用成其它Func,请参考MT8646_GPIO_Application_Spec表格</v>
          </cell>
        </row>
        <row r="483">
          <cell r="B483">
            <v>479</v>
          </cell>
          <cell r="C483" t="str">
            <v>GPIO82_MSDC2_DATA2</v>
          </cell>
          <cell r="D483" t="str">
            <v>GPIO82,EINT82,可以复用成MSDC2_DATA2,可以复用成其它Func,请参考MT8646_GPIO_Application_Spec表格</v>
          </cell>
          <cell r="E483" t="str">
            <v>SD</v>
          </cell>
        </row>
        <row r="484">
          <cell r="B484">
            <v>480</v>
          </cell>
          <cell r="C484" t="str">
            <v>GPIO81_MSDC2_DATA1</v>
          </cell>
          <cell r="D484" t="str">
            <v>GPIO81,EINT81,可以复用成MSDC2_DATA1,可以复用成其它Func,请参考MT8646_GPIO_Application_Spec表格</v>
          </cell>
          <cell r="E484" t="str">
            <v>SD</v>
          </cell>
        </row>
        <row r="485">
          <cell r="B485">
            <v>481</v>
          </cell>
          <cell r="C485" t="str">
            <v>SPI0_CSB</v>
          </cell>
          <cell r="D485" t="str">
            <v>SPI0_CSB;GPIO47,EINT47;可以复用成其它Func,请参考MT8646_GPIO_Application_Spec表格</v>
          </cell>
        </row>
        <row r="486">
          <cell r="B486">
            <v>482</v>
          </cell>
          <cell r="C486" t="str">
            <v>CSI3A_RCN</v>
          </cell>
          <cell r="D486" t="str">
            <v>MIPI CSI3A的CLK-N</v>
          </cell>
          <cell r="E486" t="str">
            <v>CSI</v>
          </cell>
        </row>
        <row r="487">
          <cell r="B487">
            <v>483</v>
          </cell>
          <cell r="C487" t="str">
            <v>CSI3A_RCP</v>
          </cell>
          <cell r="D487" t="str">
            <v>MIPI CSI3A的CLK-P</v>
          </cell>
          <cell r="E487" t="str">
            <v>CSI</v>
          </cell>
        </row>
        <row r="488">
          <cell r="B488">
            <v>484</v>
          </cell>
          <cell r="C488" t="str">
            <v>CSI3B_RDP1</v>
          </cell>
          <cell r="D488" t="str">
            <v>MIPI CSI3B的DATA1-P</v>
          </cell>
          <cell r="E488" t="str">
            <v>CSI</v>
          </cell>
        </row>
        <row r="489">
          <cell r="B489">
            <v>485</v>
          </cell>
          <cell r="C489" t="str">
            <v>CSI3B_RDN1</v>
          </cell>
          <cell r="D489" t="str">
            <v>MIPI CSI3B的DATA1-N</v>
          </cell>
          <cell r="E489" t="str">
            <v>CSI</v>
          </cell>
        </row>
        <row r="490">
          <cell r="B490">
            <v>486</v>
          </cell>
          <cell r="C490" t="str">
            <v>SPI0_CK</v>
          </cell>
          <cell r="D490" t="str">
            <v>SPI0_CK;GPIO46,EINT46;可以复用成其它Func,请参考MT8646_GPIO_Application_Spec表格</v>
          </cell>
        </row>
        <row r="491">
          <cell r="B491">
            <v>487</v>
          </cell>
          <cell r="C491" t="str">
            <v>GPIO83_MSDC2_DATA3</v>
          </cell>
          <cell r="D491" t="str">
            <v>GPIO83,EINT83,可以复用成MSDC2_DATA3,可以复用成其它Func,请参考MT8646_GPIO_Application_Spec表格</v>
          </cell>
          <cell r="E491" t="str">
            <v>SD</v>
          </cell>
        </row>
        <row r="492">
          <cell r="B492">
            <v>488</v>
          </cell>
          <cell r="C492" t="str">
            <v>D_GND</v>
          </cell>
        </row>
        <row r="492">
          <cell r="E492" t="str">
            <v>D_GND</v>
          </cell>
        </row>
        <row r="493">
          <cell r="B493">
            <v>489</v>
          </cell>
          <cell r="C493" t="str">
            <v>GPIO134</v>
          </cell>
          <cell r="D493" t="str">
            <v>GPIO134,此IO口不能做中断功能,可以复用成其它Func,请参考MT8646_GPIO_Application_Spec表格</v>
          </cell>
        </row>
        <row r="494">
          <cell r="B494">
            <v>490</v>
          </cell>
          <cell r="C494" t="str">
            <v>D_GND</v>
          </cell>
        </row>
        <row r="494">
          <cell r="E494" t="str">
            <v>D_GND</v>
          </cell>
        </row>
        <row r="495">
          <cell r="B495">
            <v>491</v>
          </cell>
          <cell r="C495" t="str">
            <v>D_GND</v>
          </cell>
        </row>
        <row r="495">
          <cell r="E495" t="str">
            <v>D_GND</v>
          </cell>
        </row>
        <row r="496">
          <cell r="B496">
            <v>492</v>
          </cell>
          <cell r="C496" t="str">
            <v>D_GND</v>
          </cell>
        </row>
        <row r="496">
          <cell r="E496" t="str">
            <v>D_GND</v>
          </cell>
        </row>
        <row r="497">
          <cell r="B497">
            <v>493</v>
          </cell>
          <cell r="C497" t="str">
            <v>SPI0_MI</v>
          </cell>
          <cell r="D497" t="str">
            <v>SPI0_MI;GPIO48,EINT48;可以复用成其它Func,请参考MT8646_GPIO_Application_Spec表格</v>
          </cell>
        </row>
        <row r="498">
          <cell r="B498">
            <v>494</v>
          </cell>
          <cell r="C498" t="str">
            <v>CSI3B_RDN3</v>
          </cell>
          <cell r="D498" t="str">
            <v>MIPI CSI3B的DATA3-N</v>
          </cell>
          <cell r="E498" t="str">
            <v>CSI</v>
          </cell>
        </row>
        <row r="499">
          <cell r="B499">
            <v>495</v>
          </cell>
          <cell r="C499" t="str">
            <v>CSI3B_RDP3</v>
          </cell>
          <cell r="D499" t="str">
            <v>MIPI CSI3B的DATA3-P</v>
          </cell>
          <cell r="E499" t="str">
            <v>CSI</v>
          </cell>
        </row>
        <row r="500">
          <cell r="B500">
            <v>496</v>
          </cell>
          <cell r="C500" t="str">
            <v>CSI3A_RDP2</v>
          </cell>
          <cell r="D500" t="str">
            <v>MIPI CSI3A的DATA2-P</v>
          </cell>
          <cell r="E500" t="str">
            <v>CSI</v>
          </cell>
        </row>
        <row r="501">
          <cell r="B501">
            <v>497</v>
          </cell>
          <cell r="C501" t="str">
            <v>CSI3A_RDN2</v>
          </cell>
          <cell r="D501" t="str">
            <v>MIPI CSI3A的DATA2-N</v>
          </cell>
          <cell r="E501" t="str">
            <v>CSI</v>
          </cell>
        </row>
        <row r="502">
          <cell r="B502">
            <v>498</v>
          </cell>
          <cell r="C502" t="str">
            <v>INT_SIM1</v>
          </cell>
          <cell r="D502" t="str">
            <v>INT_SIM1;GPIO58,EINT58;可以复用成其它Func,请参考MT8646_GPIO_Application_Spec表格</v>
          </cell>
          <cell r="E502" t="str">
            <v>SIM</v>
          </cell>
        </row>
        <row r="503">
          <cell r="B503">
            <v>499</v>
          </cell>
          <cell r="C503" t="str">
            <v>D_GND</v>
          </cell>
        </row>
        <row r="503">
          <cell r="E503" t="str">
            <v>D_GND</v>
          </cell>
        </row>
        <row r="504">
          <cell r="B504">
            <v>500</v>
          </cell>
          <cell r="C504" t="str">
            <v>VIBR_PMU</v>
          </cell>
          <cell r="D504" t="str">
            <v>LDO电源输出,1.8/2.8/3.0/3.3V/200mA 可供外部负载使用</v>
          </cell>
        </row>
        <row r="505">
          <cell r="B505">
            <v>501</v>
          </cell>
          <cell r="C505" t="str">
            <v>D_GND</v>
          </cell>
        </row>
        <row r="505">
          <cell r="E505" t="str">
            <v>D_GND</v>
          </cell>
        </row>
        <row r="506">
          <cell r="B506">
            <v>502</v>
          </cell>
          <cell r="C506" t="str">
            <v>VTP_PMU</v>
          </cell>
          <cell r="D506" t="str">
            <v>VTP供电输出  1.8/2.8/3.0/3.3V/200mA</v>
          </cell>
        </row>
        <row r="507">
          <cell r="B507">
            <v>503</v>
          </cell>
          <cell r="C507" t="str">
            <v>VIO28_PMU</v>
          </cell>
          <cell r="D507" t="str">
            <v>VIO28_PMU ,1.8/2.8/3.0/3.3V/200mA  SENSOR供电</v>
          </cell>
        </row>
        <row r="508">
          <cell r="B508">
            <v>504</v>
          </cell>
          <cell r="C508" t="str">
            <v>VMCH_PMU</v>
          </cell>
          <cell r="D508" t="str">
            <v>T卡供电LDO 输出 2.9V/800mA</v>
          </cell>
        </row>
        <row r="509">
          <cell r="B509">
            <v>505</v>
          </cell>
          <cell r="C509" t="str">
            <v>VBUS</v>
          </cell>
          <cell r="D509" t="str">
            <v>VBUS对应MT8646底板上的VUSB_5V_IN,检测USB插入</v>
          </cell>
        </row>
        <row r="510">
          <cell r="B510">
            <v>506</v>
          </cell>
          <cell r="C510" t="str">
            <v>D_GND</v>
          </cell>
          <cell r="D510" t="str">
            <v>电源地</v>
          </cell>
          <cell r="E510" t="str">
            <v>D_GND</v>
          </cell>
        </row>
        <row r="511">
          <cell r="B511">
            <v>507</v>
          </cell>
          <cell r="C511" t="str">
            <v>D_GND</v>
          </cell>
          <cell r="D511" t="str">
            <v>电源地</v>
          </cell>
          <cell r="E511" t="str">
            <v>D_GND</v>
          </cell>
        </row>
        <row r="512">
          <cell r="B512">
            <v>508</v>
          </cell>
          <cell r="C512" t="str">
            <v>VBAT</v>
          </cell>
          <cell r="D512" t="str">
            <v>系统4.0V供电输入</v>
          </cell>
          <cell r="E512" t="str">
            <v>VBAT</v>
          </cell>
        </row>
        <row r="513">
          <cell r="B513">
            <v>509</v>
          </cell>
          <cell r="C513" t="str">
            <v>VBAT</v>
          </cell>
          <cell r="D513" t="str">
            <v>系统4.0V供电输入</v>
          </cell>
          <cell r="E513" t="str">
            <v>VBAT</v>
          </cell>
        </row>
        <row r="514">
          <cell r="B514">
            <v>510</v>
          </cell>
          <cell r="C514" t="str">
            <v>D_GND</v>
          </cell>
          <cell r="D514" t="str">
            <v>电源地</v>
          </cell>
          <cell r="E514" t="str">
            <v>D_GND</v>
          </cell>
        </row>
        <row r="515">
          <cell r="B515">
            <v>511</v>
          </cell>
          <cell r="C515" t="str">
            <v>D_GND</v>
          </cell>
          <cell r="D515" t="str">
            <v>电源地</v>
          </cell>
          <cell r="E515" t="str">
            <v>D_GND</v>
          </cell>
        </row>
        <row r="516">
          <cell r="B516">
            <v>512</v>
          </cell>
          <cell r="C516" t="str">
            <v>PWRKEY_SW</v>
          </cell>
          <cell r="D516" t="str">
            <v>POWERKEY ,系统开关机键,电平为4.0V，默认高电平低有效</v>
          </cell>
        </row>
        <row r="517">
          <cell r="B517">
            <v>513</v>
          </cell>
          <cell r="C517" t="str">
            <v>D_GND</v>
          </cell>
          <cell r="D517" t="str">
            <v>电源地</v>
          </cell>
          <cell r="E517" t="str">
            <v>D_GND</v>
          </cell>
        </row>
        <row r="518">
          <cell r="B518">
            <v>514</v>
          </cell>
          <cell r="C518" t="str">
            <v>D_GND</v>
          </cell>
          <cell r="D518" t="str">
            <v>电源地</v>
          </cell>
          <cell r="E518" t="str">
            <v>D_GND</v>
          </cell>
        </row>
        <row r="519">
          <cell r="B519">
            <v>515</v>
          </cell>
          <cell r="C519" t="str">
            <v>D_GND</v>
          </cell>
          <cell r="D519" t="str">
            <v>电源地</v>
          </cell>
          <cell r="E519" t="str">
            <v>D_GND</v>
          </cell>
        </row>
        <row r="520">
          <cell r="B520">
            <v>516</v>
          </cell>
          <cell r="C520" t="str">
            <v>VBAT</v>
          </cell>
          <cell r="D520" t="str">
            <v>系统4.0V供电输入</v>
          </cell>
          <cell r="E520" t="str">
            <v>VBAT</v>
          </cell>
        </row>
        <row r="521">
          <cell r="B521">
            <v>517</v>
          </cell>
          <cell r="C521" t="str">
            <v>VBAT</v>
          </cell>
          <cell r="D521" t="str">
            <v>系统4.0V供电输入</v>
          </cell>
          <cell r="E521" t="str">
            <v>VBAT</v>
          </cell>
        </row>
        <row r="522">
          <cell r="B522">
            <v>518</v>
          </cell>
          <cell r="C522" t="str">
            <v>VBAT</v>
          </cell>
          <cell r="D522" t="str">
            <v>系统4.0V供电输入</v>
          </cell>
          <cell r="E522" t="str">
            <v>VBAT</v>
          </cell>
        </row>
        <row r="523">
          <cell r="B523">
            <v>519</v>
          </cell>
          <cell r="C523" t="str">
            <v>VBAT</v>
          </cell>
          <cell r="D523" t="str">
            <v>系统4.0V供电输入</v>
          </cell>
          <cell r="E523" t="str">
            <v>VBAT</v>
          </cell>
        </row>
        <row r="524">
          <cell r="B524">
            <v>520</v>
          </cell>
          <cell r="C524" t="str">
            <v>VBAT</v>
          </cell>
          <cell r="D524" t="str">
            <v>系统4.0V供电输入</v>
          </cell>
          <cell r="E524" t="str">
            <v>VBAT</v>
          </cell>
        </row>
        <row r="525">
          <cell r="B525">
            <v>521</v>
          </cell>
          <cell r="C525" t="str">
            <v>VBAT</v>
          </cell>
          <cell r="D525" t="str">
            <v>系统4.0V供电输入</v>
          </cell>
          <cell r="E525" t="str">
            <v>VBAT</v>
          </cell>
        </row>
        <row r="526">
          <cell r="B526">
            <v>522</v>
          </cell>
          <cell r="C526" t="str">
            <v>D_GND</v>
          </cell>
          <cell r="D526" t="str">
            <v>电源地</v>
          </cell>
          <cell r="E526" t="str">
            <v>D_GND</v>
          </cell>
        </row>
        <row r="527">
          <cell r="B527">
            <v>523</v>
          </cell>
          <cell r="C527" t="str">
            <v>D_GND</v>
          </cell>
          <cell r="D527" t="str">
            <v>电源地</v>
          </cell>
          <cell r="E527" t="str">
            <v>D_GND</v>
          </cell>
        </row>
        <row r="528">
          <cell r="B528">
            <v>524</v>
          </cell>
          <cell r="C528" t="str">
            <v>VBAT</v>
          </cell>
          <cell r="D528" t="str">
            <v>系统4.0V供电输入</v>
          </cell>
          <cell r="E528" t="str">
            <v>VBAT</v>
          </cell>
        </row>
        <row r="529">
          <cell r="B529">
            <v>525</v>
          </cell>
          <cell r="C529" t="str">
            <v>VBAT</v>
          </cell>
          <cell r="D529" t="str">
            <v>系统4.0V供电输入</v>
          </cell>
          <cell r="E529" t="str">
            <v>VBAT</v>
          </cell>
        </row>
        <row r="530">
          <cell r="B530">
            <v>526</v>
          </cell>
          <cell r="C530" t="str">
            <v>D_GND</v>
          </cell>
          <cell r="D530" t="str">
            <v>电源地</v>
          </cell>
          <cell r="E530" t="str">
            <v>D_GND</v>
          </cell>
        </row>
        <row r="531">
          <cell r="B531">
            <v>527</v>
          </cell>
          <cell r="C531" t="str">
            <v>D_GND</v>
          </cell>
          <cell r="D531" t="str">
            <v>电源地</v>
          </cell>
          <cell r="E531" t="str">
            <v>D_GND</v>
          </cell>
        </row>
        <row r="532">
          <cell r="B532">
            <v>528</v>
          </cell>
          <cell r="C532" t="str">
            <v>D_GND</v>
          </cell>
          <cell r="D532" t="str">
            <v>电源地</v>
          </cell>
          <cell r="E532" t="str">
            <v>D_GND</v>
          </cell>
        </row>
        <row r="533">
          <cell r="B533" t="str">
            <v>G1</v>
          </cell>
          <cell r="C533" t="str">
            <v>D_GND</v>
          </cell>
        </row>
        <row r="533">
          <cell r="E533" t="str">
            <v>D_GND</v>
          </cell>
        </row>
        <row r="534">
          <cell r="B534" t="str">
            <v>G2</v>
          </cell>
          <cell r="C534" t="str">
            <v>D_GND</v>
          </cell>
        </row>
        <row r="534">
          <cell r="E534" t="str">
            <v>D_GND</v>
          </cell>
        </row>
        <row r="535">
          <cell r="B535" t="str">
            <v>G3</v>
          </cell>
          <cell r="C535" t="str">
            <v>D_GND</v>
          </cell>
        </row>
        <row r="535">
          <cell r="E535" t="str">
            <v>D_GND</v>
          </cell>
        </row>
        <row r="536">
          <cell r="B536" t="str">
            <v>G4</v>
          </cell>
          <cell r="C536" t="str">
            <v>D_GND</v>
          </cell>
        </row>
        <row r="536">
          <cell r="E536" t="str">
            <v>D_GND</v>
          </cell>
        </row>
        <row r="537">
          <cell r="B537" t="str">
            <v>G5</v>
          </cell>
          <cell r="C537" t="str">
            <v>D_GND</v>
          </cell>
        </row>
        <row r="537">
          <cell r="E537" t="str">
            <v>D_GND</v>
          </cell>
        </row>
        <row r="538">
          <cell r="B538" t="str">
            <v>G6</v>
          </cell>
          <cell r="C538" t="str">
            <v>D_GND</v>
          </cell>
        </row>
        <row r="538">
          <cell r="E538" t="str">
            <v>D_GND</v>
          </cell>
        </row>
        <row r="539">
          <cell r="B539" t="str">
            <v>G7</v>
          </cell>
          <cell r="C539" t="str">
            <v>D_GND</v>
          </cell>
        </row>
        <row r="539">
          <cell r="E539" t="str">
            <v>D_GND</v>
          </cell>
        </row>
        <row r="540">
          <cell r="B540" t="str">
            <v>G8</v>
          </cell>
          <cell r="C540" t="str">
            <v>D_GND</v>
          </cell>
        </row>
        <row r="540">
          <cell r="E540" t="str">
            <v>D_GND</v>
          </cell>
        </row>
        <row r="541">
          <cell r="B541" t="str">
            <v>G9</v>
          </cell>
          <cell r="C541" t="str">
            <v>D_GND</v>
          </cell>
        </row>
        <row r="541">
          <cell r="E541" t="str">
            <v>D_GND</v>
          </cell>
        </row>
        <row r="542">
          <cell r="B542" t="str">
            <v>G10</v>
          </cell>
          <cell r="C542" t="str">
            <v>D_GND</v>
          </cell>
        </row>
        <row r="542">
          <cell r="E542" t="str">
            <v>D_GND</v>
          </cell>
        </row>
        <row r="543">
          <cell r="B543" t="str">
            <v>G11</v>
          </cell>
          <cell r="C543" t="str">
            <v>D_GND</v>
          </cell>
        </row>
        <row r="543">
          <cell r="E543" t="str">
            <v>D_GND</v>
          </cell>
        </row>
        <row r="544">
          <cell r="B544" t="str">
            <v>G12</v>
          </cell>
          <cell r="C544" t="str">
            <v>D_GND</v>
          </cell>
        </row>
        <row r="544">
          <cell r="E544" t="str">
            <v>D_GND</v>
          </cell>
        </row>
        <row r="545">
          <cell r="B545" t="str">
            <v>G13</v>
          </cell>
          <cell r="C545" t="str">
            <v>D_GND</v>
          </cell>
        </row>
        <row r="545">
          <cell r="E545" t="str">
            <v>D_GND</v>
          </cell>
        </row>
        <row r="546">
          <cell r="B546" t="str">
            <v>G14</v>
          </cell>
          <cell r="C546" t="str">
            <v>D_GND</v>
          </cell>
        </row>
        <row r="546">
          <cell r="E546" t="str">
            <v>D_GND</v>
          </cell>
        </row>
        <row r="547">
          <cell r="B547" t="str">
            <v>G15</v>
          </cell>
          <cell r="C547" t="str">
            <v>D_GND</v>
          </cell>
        </row>
        <row r="547">
          <cell r="E547" t="str">
            <v>D_GND</v>
          </cell>
        </row>
        <row r="548">
          <cell r="B548" t="str">
            <v>G16</v>
          </cell>
          <cell r="C548" t="str">
            <v>D_GND</v>
          </cell>
        </row>
        <row r="548">
          <cell r="E548" t="str">
            <v>D_GND</v>
          </cell>
        </row>
        <row r="549">
          <cell r="B549" t="str">
            <v>G17</v>
          </cell>
          <cell r="C549" t="str">
            <v>D_GND</v>
          </cell>
        </row>
        <row r="549">
          <cell r="E549" t="str">
            <v>D_GND</v>
          </cell>
        </row>
        <row r="550">
          <cell r="B550" t="str">
            <v>G18</v>
          </cell>
          <cell r="C550" t="str">
            <v>D_GND</v>
          </cell>
        </row>
        <row r="550">
          <cell r="E550" t="str">
            <v>D_GND</v>
          </cell>
        </row>
        <row r="551">
          <cell r="B551" t="str">
            <v>G19</v>
          </cell>
          <cell r="C551" t="str">
            <v>D_GND</v>
          </cell>
        </row>
        <row r="551">
          <cell r="E551" t="str">
            <v>D_GND</v>
          </cell>
        </row>
        <row r="552">
          <cell r="B552" t="str">
            <v>G20</v>
          </cell>
          <cell r="C552" t="str">
            <v>D_GND</v>
          </cell>
        </row>
        <row r="552">
          <cell r="E552" t="str">
            <v>D_GND</v>
          </cell>
        </row>
        <row r="553">
          <cell r="B553" t="str">
            <v>G21</v>
          </cell>
          <cell r="C553" t="str">
            <v>D_GND</v>
          </cell>
        </row>
        <row r="553">
          <cell r="E553" t="str">
            <v>D_GND</v>
          </cell>
        </row>
        <row r="554">
          <cell r="B554" t="str">
            <v>G22</v>
          </cell>
          <cell r="C554" t="str">
            <v>D_GND</v>
          </cell>
        </row>
        <row r="554">
          <cell r="E554" t="str">
            <v>D_GND</v>
          </cell>
        </row>
        <row r="555">
          <cell r="B555" t="str">
            <v>G23</v>
          </cell>
          <cell r="C555" t="str">
            <v>D_GND</v>
          </cell>
        </row>
        <row r="555">
          <cell r="E555" t="str">
            <v>D_GND</v>
          </cell>
        </row>
        <row r="556">
          <cell r="B556" t="str">
            <v>G24</v>
          </cell>
          <cell r="C556" t="str">
            <v>D_GND</v>
          </cell>
        </row>
        <row r="556">
          <cell r="E556" t="str">
            <v>D_GND</v>
          </cell>
        </row>
        <row r="557">
          <cell r="B557" t="str">
            <v>G25</v>
          </cell>
          <cell r="C557" t="str">
            <v>D_GND</v>
          </cell>
        </row>
        <row r="557">
          <cell r="E557" t="str">
            <v>D_GND</v>
          </cell>
        </row>
        <row r="558">
          <cell r="B558" t="str">
            <v>G26</v>
          </cell>
          <cell r="C558" t="str">
            <v>D_GND</v>
          </cell>
        </row>
        <row r="558">
          <cell r="E558" t="str">
            <v>D_GND</v>
          </cell>
        </row>
        <row r="559">
          <cell r="B559" t="str">
            <v>G27</v>
          </cell>
          <cell r="C559" t="str">
            <v>D_GND</v>
          </cell>
        </row>
        <row r="559">
          <cell r="E559" t="str">
            <v>D_GND</v>
          </cell>
        </row>
        <row r="560">
          <cell r="B560" t="str">
            <v>G28</v>
          </cell>
          <cell r="C560" t="str">
            <v>D_GND</v>
          </cell>
        </row>
        <row r="560">
          <cell r="E560" t="str">
            <v>D_GND</v>
          </cell>
        </row>
        <row r="561">
          <cell r="B561" t="str">
            <v>G29</v>
          </cell>
          <cell r="C561" t="str">
            <v>D_GND</v>
          </cell>
        </row>
        <row r="561">
          <cell r="E561" t="str">
            <v>D_GND</v>
          </cell>
        </row>
        <row r="562">
          <cell r="B562" t="str">
            <v>G30</v>
          </cell>
          <cell r="C562" t="str">
            <v>D_GND</v>
          </cell>
        </row>
        <row r="562">
          <cell r="E562" t="str">
            <v>D_GND</v>
          </cell>
        </row>
        <row r="563">
          <cell r="B563" t="str">
            <v>G31</v>
          </cell>
          <cell r="C563" t="str">
            <v>D_GND</v>
          </cell>
        </row>
        <row r="563">
          <cell r="E563" t="str">
            <v>D_GND</v>
          </cell>
        </row>
        <row r="564">
          <cell r="B564" t="str">
            <v>G32</v>
          </cell>
          <cell r="C564" t="str">
            <v>D_GND</v>
          </cell>
        </row>
        <row r="564">
          <cell r="E564" t="str">
            <v>D_GND</v>
          </cell>
        </row>
        <row r="565">
          <cell r="B565" t="str">
            <v>G33</v>
          </cell>
          <cell r="C565" t="str">
            <v>D_GND</v>
          </cell>
        </row>
        <row r="565">
          <cell r="E565" t="str">
            <v>D_GND</v>
          </cell>
        </row>
        <row r="566">
          <cell r="B566" t="str">
            <v>G34</v>
          </cell>
          <cell r="C566" t="str">
            <v>D_GND</v>
          </cell>
        </row>
        <row r="566">
          <cell r="E566" t="str">
            <v>D_GND</v>
          </cell>
        </row>
        <row r="567">
          <cell r="B567" t="str">
            <v>G35</v>
          </cell>
          <cell r="C567" t="str">
            <v>D_GND</v>
          </cell>
        </row>
        <row r="567">
          <cell r="E567" t="str">
            <v>D_GND</v>
          </cell>
        </row>
        <row r="568">
          <cell r="B568" t="str">
            <v>G36</v>
          </cell>
          <cell r="C568" t="str">
            <v>D_GND</v>
          </cell>
        </row>
        <row r="568">
          <cell r="E568" t="str">
            <v>D_GND</v>
          </cell>
        </row>
        <row r="569">
          <cell r="B569" t="str">
            <v>G37</v>
          </cell>
          <cell r="C569" t="str">
            <v>D_GND</v>
          </cell>
        </row>
        <row r="569">
          <cell r="E569" t="str">
            <v>D_GND</v>
          </cell>
        </row>
        <row r="570">
          <cell r="B570" t="str">
            <v>G38</v>
          </cell>
          <cell r="C570" t="str">
            <v>D_GND</v>
          </cell>
        </row>
        <row r="570">
          <cell r="E570" t="str">
            <v>D_GND</v>
          </cell>
        </row>
        <row r="571">
          <cell r="B571" t="str">
            <v>G39</v>
          </cell>
          <cell r="C571" t="str">
            <v>D_GND</v>
          </cell>
        </row>
        <row r="571">
          <cell r="E571" t="str">
            <v>D_GND</v>
          </cell>
        </row>
        <row r="572">
          <cell r="B572" t="str">
            <v>G40</v>
          </cell>
          <cell r="C572" t="str">
            <v>D_GND</v>
          </cell>
        </row>
        <row r="572">
          <cell r="E572" t="str">
            <v>D_GND</v>
          </cell>
        </row>
        <row r="573">
          <cell r="B573" t="str">
            <v>G41</v>
          </cell>
          <cell r="C573" t="str">
            <v>D_GND</v>
          </cell>
        </row>
        <row r="573">
          <cell r="E573" t="str">
            <v>D_GND</v>
          </cell>
        </row>
        <row r="574">
          <cell r="B574" t="str">
            <v>G42</v>
          </cell>
          <cell r="C574" t="str">
            <v>D_GND</v>
          </cell>
        </row>
        <row r="574">
          <cell r="E574" t="str">
            <v>D_GND</v>
          </cell>
        </row>
        <row r="575">
          <cell r="B575" t="str">
            <v>G43</v>
          </cell>
          <cell r="C575" t="str">
            <v>D_GND</v>
          </cell>
        </row>
        <row r="575">
          <cell r="E575" t="str">
            <v>D_GND</v>
          </cell>
        </row>
        <row r="576">
          <cell r="B576" t="str">
            <v>G44</v>
          </cell>
          <cell r="C576" t="str">
            <v>D_GND</v>
          </cell>
        </row>
        <row r="576">
          <cell r="E576" t="str">
            <v>D_GND</v>
          </cell>
        </row>
        <row r="577">
          <cell r="B577" t="str">
            <v>G45</v>
          </cell>
          <cell r="C577" t="str">
            <v>D_GND</v>
          </cell>
        </row>
        <row r="577">
          <cell r="E577" t="str">
            <v>D_GND</v>
          </cell>
        </row>
        <row r="578">
          <cell r="B578" t="str">
            <v>G46</v>
          </cell>
          <cell r="C578" t="str">
            <v>D_GND</v>
          </cell>
        </row>
        <row r="578">
          <cell r="E578" t="str">
            <v>D_GND</v>
          </cell>
        </row>
        <row r="579">
          <cell r="B579" t="str">
            <v>G47</v>
          </cell>
          <cell r="C579" t="str">
            <v>D_GND</v>
          </cell>
        </row>
        <row r="579">
          <cell r="E579" t="str">
            <v>D_GND</v>
          </cell>
        </row>
        <row r="580">
          <cell r="B580" t="str">
            <v>G48</v>
          </cell>
          <cell r="C580" t="str">
            <v>D_GND</v>
          </cell>
        </row>
        <row r="580">
          <cell r="E580" t="str">
            <v>D_GND</v>
          </cell>
        </row>
        <row r="581">
          <cell r="B581" t="str">
            <v>G49</v>
          </cell>
          <cell r="C581" t="str">
            <v>D_GND</v>
          </cell>
        </row>
        <row r="581">
          <cell r="E581" t="str">
            <v>D_GND</v>
          </cell>
        </row>
        <row r="582">
          <cell r="B582" t="str">
            <v>G50</v>
          </cell>
          <cell r="C582" t="str">
            <v>D_GND</v>
          </cell>
        </row>
        <row r="582">
          <cell r="E582" t="str">
            <v>D_GND</v>
          </cell>
        </row>
        <row r="583">
          <cell r="B583" t="str">
            <v>G51</v>
          </cell>
          <cell r="C583" t="str">
            <v>D_GND</v>
          </cell>
        </row>
        <row r="583">
          <cell r="E583" t="str">
            <v>D_GND</v>
          </cell>
        </row>
        <row r="584">
          <cell r="B584" t="str">
            <v>G52</v>
          </cell>
          <cell r="C584" t="str">
            <v>D_GND</v>
          </cell>
        </row>
        <row r="584">
          <cell r="E584" t="str">
            <v>D_GND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8"/>
  <sheetViews>
    <sheetView tabSelected="1" zoomScale="55" zoomScaleNormal="55" workbookViewId="0">
      <selection activeCell="AK24" sqref="AK24"/>
    </sheetView>
  </sheetViews>
  <sheetFormatPr defaultColWidth="9" defaultRowHeight="14"/>
  <sheetData>
    <row r="1" s="1" customFormat="1" ht="56.65" customHeight="1"/>
    <row r="2" s="1" customFormat="1" ht="56.65" customHeight="1" spans="1:30">
      <c r="A2" s="1">
        <v>1</v>
      </c>
      <c r="B2" s="2" t="str">
        <f>IF(COUNTA([1]表框架!B2)=0,"",_xlfn.TEXTJOIN(CHAR(10),FALSE,[1]表框架!B2,VLOOKUP([1]表框架!B2,'[1]PIN list'!$B:$E,2)))</f>
        <v/>
      </c>
      <c r="C2" s="3" t="str">
        <f>IF(COUNTA([1]表框架!C2)=0,"",_xlfn.TEXTJOIN(CHAR(10),FALSE,[1]表框架!C2,VLOOKUP([1]表框架!C2,'[1]PIN list'!$B:$E,2)))</f>
        <v>528
D_GND</v>
      </c>
      <c r="D2" s="3" t="str">
        <f>IF(COUNTA([1]表框架!D2)=0,"",_xlfn.TEXTJOIN(CHAR(10),FALSE,[1]表框架!D2,VLOOKUP([1]表框架!D2,'[1]PIN list'!$B:$E,2)))</f>
        <v>526
D_GND</v>
      </c>
      <c r="E2" s="4" t="str">
        <f>IF(COUNTA([1]表框架!E2)=0,"",_xlfn.TEXTJOIN(CHAR(10),FALSE,[1]表框架!E2,VLOOKUP([1]表框架!E2,'[1]PIN list'!$B:$E,2)))</f>
        <v>525
VBAT</v>
      </c>
      <c r="F2" s="4" t="str">
        <f>IF(COUNTA([1]表框架!F2)=0,"",_xlfn.TEXTJOIN(CHAR(10),FALSE,[1]表框架!F2,VLOOKUP([1]表框架!F2,'[1]PIN list'!$B:$E,2)))</f>
        <v>519
VBAT</v>
      </c>
      <c r="G2" s="4" t="str">
        <f>IF(COUNTA([1]表框架!G2)=0,"",_xlfn.TEXTJOIN(CHAR(10),FALSE,[1]表框架!G2,VLOOKUP([1]表框架!G2,'[1]PIN list'!$B:$E,2)))</f>
        <v>518
VBAT</v>
      </c>
      <c r="H2" s="4" t="str">
        <f>IF(COUNTA([1]表框架!H2)=0,"",_xlfn.TEXTJOIN(CHAR(10),FALSE,[1]表框架!H2,VLOOKUP([1]表框架!H2,'[1]PIN list'!$B:$E,2)))</f>
        <v>508
VBAT</v>
      </c>
      <c r="I2" s="3" t="str">
        <f>IF(COUNTA([1]表框架!I2)=0,"",_xlfn.TEXTJOIN(CHAR(10),FALSE,[1]表框架!I2,VLOOKUP([1]表框架!I2,'[1]PIN list'!$B:$E,2)))</f>
        <v>507
D_GND</v>
      </c>
      <c r="J2" s="25" t="str">
        <f>IF(COUNTA([1]表框架!J2)=0,"",_xlfn.TEXTJOIN(CHAR(10),FALSE,[1]表框架!J2,VLOOKUP([1]表框架!J2,'[1]PIN list'!$B:$E,2)))</f>
        <v>496
CSI3A_RDP2</v>
      </c>
      <c r="K2" s="25" t="str">
        <f>IF(COUNTA([1]表框架!K2)=0,"",_xlfn.TEXTJOIN(CHAR(10),FALSE,[1]表框架!K2,VLOOKUP([1]表框架!K2,'[1]PIN list'!$B:$E,2)))</f>
        <v>495
CSI3B_RDP3</v>
      </c>
      <c r="L2" s="25" t="str">
        <f>IF(COUNTA([1]表框架!L2)=0,"",_xlfn.TEXTJOIN(CHAR(10),FALSE,[1]表框架!L2,VLOOKUP([1]表框架!L2,'[1]PIN list'!$B:$E,2)))</f>
        <v>484
CSI3B_RDP1</v>
      </c>
      <c r="M2" s="25" t="str">
        <f>IF(COUNTA([1]表框架!M2)=0,"",_xlfn.TEXTJOIN(CHAR(10),FALSE,[1]表框架!M2,VLOOKUP([1]表框架!M2,'[1]PIN list'!$B:$E,2)))</f>
        <v>483
CSI3A_RCP</v>
      </c>
      <c r="N2" s="25" t="str">
        <f>IF(COUNTA([1]表框架!N2)=0,"",_xlfn.TEXTJOIN(CHAR(10),FALSE,[1]表框架!N2,VLOOKUP([1]表框架!N2,'[1]PIN list'!$B:$E,2)))</f>
        <v>472
CSI3A_RDP0</v>
      </c>
      <c r="O2" s="3" t="str">
        <f>IF(COUNTA([1]表框架!O2)=0,"",_xlfn.TEXTJOIN(CHAR(10),FALSE,[1]表框架!O2,VLOOKUP([1]表框架!O2,'[1]PIN list'!$B:$E,2)))</f>
        <v>471
D_GND</v>
      </c>
      <c r="P2" s="25" t="str">
        <f>IF(COUNTA([1]表框架!P2)=0,"",_xlfn.TEXTJOIN(CHAR(10),FALSE,[1]表框架!P2,VLOOKUP([1]表框架!P2,'[1]PIN list'!$B:$E,2)))</f>
        <v>460
CSI4B_RDN3</v>
      </c>
      <c r="Q2" s="25" t="str">
        <f>IF(COUNTA([1]表框架!Q2)=0,"",_xlfn.TEXTJOIN(CHAR(10),FALSE,[1]表框架!Q2,VLOOKUP([1]表框架!Q2,'[1]PIN list'!$B:$E,2)))</f>
        <v>459
CSI4B_RDN1</v>
      </c>
      <c r="R2" s="25" t="str">
        <f>IF(COUNTA([1]表框架!R2)=0,"",_xlfn.TEXTJOIN(CHAR(10),FALSE,[1]表框架!R2,VLOOKUP([1]表框架!R2,'[1]PIN list'!$B:$E,2)))</f>
        <v>448
CSI4A_RDN0</v>
      </c>
      <c r="S2" s="25" t="str">
        <f>IF(COUNTA([1]表框架!S2)=0,"",_xlfn.TEXTJOIN(CHAR(10),FALSE,[1]表框架!S2,VLOOKUP([1]表框架!S2,'[1]PIN list'!$B:$E,2)))</f>
        <v>447
CSI5B_RDN1</v>
      </c>
      <c r="T2" s="25" t="str">
        <f>IF(COUNTA([1]表框架!T2)=0,"",_xlfn.TEXTJOIN(CHAR(10),FALSE,[1]表框架!T2,VLOOKUP([1]表框架!T2,'[1]PIN list'!$B:$E,2)))</f>
        <v>436
CSI5A_RDN0</v>
      </c>
      <c r="U2" s="29" t="str">
        <f>IF(COUNTA([1]表框架!U2)=0,"",_xlfn.TEXTJOIN(CHAR(10),FALSE,[1]表框架!U2,VLOOKUP([1]表框架!U2,'[1]PIN list'!$B:$E,2)))</f>
        <v>435
D_GND</v>
      </c>
      <c r="V2" s="30" t="str">
        <f>IF(COUNTA([1]表框架!V2)=0,"",_xlfn.TEXTJOIN(CHAR(10),FALSE,[1]表框架!V2,VLOOKUP([1]表框架!V2,'[1]PIN list'!$B:$E,2)))</f>
        <v>424
GPS_ANT</v>
      </c>
      <c r="W2" s="29" t="str">
        <f>IF(COUNTA([1]表框架!W2)=0,"",_xlfn.TEXTJOIN(CHAR(10),FALSE,[1]表框架!W2,VLOOKUP([1]表框架!W2,'[1]PIN list'!$B:$E,2)))</f>
        <v>423
D_GND</v>
      </c>
      <c r="X2" s="30" t="str">
        <f>IF(COUNTA([1]表框架!X2)=0,"",_xlfn.TEXTJOIN(CHAR(10),FALSE,[1]表框架!X2,VLOOKUP([1]表框架!X2,'[1]PIN list'!$B:$E,2)))</f>
        <v>412
WIFI_BT_ANT0</v>
      </c>
      <c r="Y2" s="29" t="str">
        <f>IF(COUNTA([1]表框架!Y2)=0,"",_xlfn.TEXTJOIN(CHAR(10),FALSE,[1]表框架!Y2,VLOOKUP([1]表框架!Y2,'[1]PIN list'!$B:$E,2)))</f>
        <v>411
D_GND</v>
      </c>
      <c r="Z2" s="30" t="str">
        <f>IF(COUNTA([1]表框架!Z2)=0,"",_xlfn.TEXTJOIN(CHAR(10),FALSE,[1]表框架!Z2,VLOOKUP([1]表框架!Z2,'[1]PIN list'!$B:$E,2)))</f>
        <v>403
WIFI_BT_ANT1</v>
      </c>
      <c r="AA2" s="29" t="str">
        <f>IF(COUNTA([1]表框架!AA2)=0,"",_xlfn.TEXTJOIN(CHAR(10),FALSE,[1]表框架!AA2,VLOOKUP([1]表框架!AA2,'[1]PIN list'!$B:$E,2)))</f>
        <v>402
D_GND</v>
      </c>
      <c r="AB2" s="30" t="str">
        <f>IF(COUNTA([1]表框架!AB2)=0,"",_xlfn.TEXTJOIN(CHAR(10),FALSE,[1]表框架!AB2,VLOOKUP([1]表框架!AB2,'[1]PIN list'!$B:$E,2)))</f>
        <v>398
NC</v>
      </c>
      <c r="AC2" s="29" t="str">
        <f>IF(COUNTA([1]表框架!AC2)=0,"",_xlfn.TEXTJOIN(CHAR(10),FALSE,[1]表框架!AC2,VLOOKUP([1]表框架!AC2,'[1]PIN list'!$B:$E,2)))</f>
        <v>397
D_GND</v>
      </c>
      <c r="AD2" s="34" t="str">
        <f>IF(COUNTA([1]表框架!AD2)=0,"",_xlfn.TEXTJOIN(CHAR(10),FALSE,[1]表框架!AD2,VLOOKUP([1]表框架!AD2,'[1]PIN list'!$B:$E,2)))</f>
        <v/>
      </c>
    </row>
    <row r="3" s="1" customFormat="1" ht="56.65" customHeight="1" spans="1:30">
      <c r="A3" s="1">
        <v>2</v>
      </c>
      <c r="B3" s="5" t="str">
        <f>IF(COUNTA([1]表框架!B3)=0,"",_xlfn.TEXTJOIN(CHAR(10),FALSE,[1]表框架!B3,VLOOKUP([1]表框架!B3,'[1]PIN list'!$B:$E,2)))</f>
        <v>1
D_GND</v>
      </c>
      <c r="C3" s="6" t="str">
        <f>IF(COUNTA([1]表框架!C3)=0,"",_xlfn.TEXTJOIN(CHAR(10),FALSE,[1]表框架!C3,VLOOKUP([1]表框架!C3,'[1]PIN list'!$B:$E,2)))</f>
        <v/>
      </c>
      <c r="D3" s="7" t="str">
        <f>IF(COUNTA([1]表框架!D3)=0,"",_xlfn.TEXTJOIN(CHAR(10),FALSE,[1]表框架!D3,VLOOKUP([1]表框架!D3,'[1]PIN list'!$B:$E,2)))</f>
        <v>527
D_GND</v>
      </c>
      <c r="E3" s="8" t="str">
        <f>IF(COUNTA([1]表框架!E3)=0,"",_xlfn.TEXTJOIN(CHAR(10),FALSE,[1]表框架!E3,VLOOKUP([1]表框架!E3,'[1]PIN list'!$B:$E,2)))</f>
        <v>524
VBAT</v>
      </c>
      <c r="F3" s="8" t="str">
        <f>IF(COUNTA([1]表框架!F3)=0,"",_xlfn.TEXTJOIN(CHAR(10),FALSE,[1]表框架!F3,VLOOKUP([1]表框架!F3,'[1]PIN list'!$B:$E,2)))</f>
        <v>520
VBAT</v>
      </c>
      <c r="G3" s="8" t="str">
        <f>IF(COUNTA([1]表框架!G3)=0,"",_xlfn.TEXTJOIN(CHAR(10),FALSE,[1]表框架!G3,VLOOKUP([1]表框架!G3,'[1]PIN list'!$B:$E,2)))</f>
        <v>517
VBAT</v>
      </c>
      <c r="H3" s="8" t="str">
        <f>IF(COUNTA([1]表框架!H3)=0,"",_xlfn.TEXTJOIN(CHAR(10),FALSE,[1]表框架!H3,VLOOKUP([1]表框架!H3,'[1]PIN list'!$B:$E,2)))</f>
        <v>509
VBAT</v>
      </c>
      <c r="I3" s="7" t="str">
        <f>IF(COUNTA([1]表框架!I3)=0,"",_xlfn.TEXTJOIN(CHAR(10),FALSE,[1]表框架!I3,VLOOKUP([1]表框架!I3,'[1]PIN list'!$B:$E,2)))</f>
        <v>506
D_GND</v>
      </c>
      <c r="J3" s="10" t="str">
        <f>IF(COUNTA([1]表框架!J3)=0,"",_xlfn.TEXTJOIN(CHAR(10),FALSE,[1]表框架!J3,VLOOKUP([1]表框架!J3,'[1]PIN list'!$B:$E,2)))</f>
        <v>497
CSI3A_RDN2</v>
      </c>
      <c r="K3" s="10" t="str">
        <f>IF(COUNTA([1]表框架!K3)=0,"",_xlfn.TEXTJOIN(CHAR(10),FALSE,[1]表框架!K3,VLOOKUP([1]表框架!K3,'[1]PIN list'!$B:$E,2)))</f>
        <v>494
CSI3B_RDN3</v>
      </c>
      <c r="L3" s="10" t="str">
        <f>IF(COUNTA([1]表框架!L3)=0,"",_xlfn.TEXTJOIN(CHAR(10),FALSE,[1]表框架!L3,VLOOKUP([1]表框架!L3,'[1]PIN list'!$B:$E,2)))</f>
        <v>485
CSI3B_RDN1</v>
      </c>
      <c r="M3" s="10" t="str">
        <f>IF(COUNTA([1]表框架!M3)=0,"",_xlfn.TEXTJOIN(CHAR(10),FALSE,[1]表框架!M3,VLOOKUP([1]表框架!M3,'[1]PIN list'!$B:$E,2)))</f>
        <v>482
CSI3A_RCN</v>
      </c>
      <c r="N3" s="10" t="str">
        <f>IF(COUNTA([1]表框架!N3)=0,"",_xlfn.TEXTJOIN(CHAR(10),FALSE,[1]表框架!N3,VLOOKUP([1]表框架!N3,'[1]PIN list'!$B:$E,2)))</f>
        <v>473
CSI3A_RDN0</v>
      </c>
      <c r="O3" s="7" t="str">
        <f>IF(COUNTA([1]表框架!O3)=0,"",_xlfn.TEXTJOIN(CHAR(10),FALSE,[1]表框架!O3,VLOOKUP([1]表框架!O3,'[1]PIN list'!$B:$E,2)))</f>
        <v>470
D_GND</v>
      </c>
      <c r="P3" s="10" t="str">
        <f>IF(COUNTA([1]表框架!P3)=0,"",_xlfn.TEXTJOIN(CHAR(10),FALSE,[1]表框架!P3,VLOOKUP([1]表框架!P3,'[1]PIN list'!$B:$E,2)))</f>
        <v>461
CSI4B_RDP3</v>
      </c>
      <c r="Q3" s="10" t="str">
        <f>IF(COUNTA([1]表框架!Q3)=0,"",_xlfn.TEXTJOIN(CHAR(10),FALSE,[1]表框架!Q3,VLOOKUP([1]表框架!Q3,'[1]PIN list'!$B:$E,2)))</f>
        <v>458
CSI4B_RDP1</v>
      </c>
      <c r="R3" s="10" t="str">
        <f>IF(COUNTA([1]表框架!R3)=0,"",_xlfn.TEXTJOIN(CHAR(10),FALSE,[1]表框架!R3,VLOOKUP([1]表框架!R3,'[1]PIN list'!$B:$E,2)))</f>
        <v>449
CSI4A_RDP0</v>
      </c>
      <c r="S3" s="10" t="str">
        <f>IF(COUNTA([1]表框架!S3)=0,"",_xlfn.TEXTJOIN(CHAR(10),FALSE,[1]表框架!S3,VLOOKUP([1]表框架!S3,'[1]PIN list'!$B:$E,2)))</f>
        <v>446
CSI5B_RDP1</v>
      </c>
      <c r="T3" s="10" t="str">
        <f>IF(COUNTA([1]表框架!T3)=0,"",_xlfn.TEXTJOIN(CHAR(10),FALSE,[1]表框架!T3,VLOOKUP([1]表框架!T3,'[1]PIN list'!$B:$E,2)))</f>
        <v>437
CSI5A_RDP0</v>
      </c>
      <c r="U3" s="15" t="str">
        <f>IF(COUNTA([1]表框架!U3)=0,"",_xlfn.TEXTJOIN(CHAR(10),FALSE,[1]表框架!U3,VLOOKUP([1]表框架!U3,'[1]PIN list'!$B:$E,2)))</f>
        <v>434
D_GND</v>
      </c>
      <c r="V3" s="15" t="str">
        <f>IF(COUNTA([1]表框架!V3)=0,"",_xlfn.TEXTJOIN(CHAR(10),FALSE,[1]表框架!V3,VLOOKUP([1]表框架!V3,'[1]PIN list'!$B:$E,2)))</f>
        <v>425
D_GND</v>
      </c>
      <c r="W3" s="15" t="str">
        <f>IF(COUNTA([1]表框架!W3)=0,"",_xlfn.TEXTJOIN(CHAR(10),FALSE,[1]表框架!W3,VLOOKUP([1]表框架!W3,'[1]PIN list'!$B:$E,2)))</f>
        <v>422
D_GND</v>
      </c>
      <c r="X3" s="15" t="str">
        <f>IF(COUNTA([1]表框架!X3)=0,"",_xlfn.TEXTJOIN(CHAR(10),FALSE,[1]表框架!X3,VLOOKUP([1]表框架!X3,'[1]PIN list'!$B:$E,2)))</f>
        <v>413
D_GND</v>
      </c>
      <c r="Y3" s="15" t="str">
        <f>IF(COUNTA([1]表框架!Y3)=0,"",_xlfn.TEXTJOIN(CHAR(10),FALSE,[1]表框架!Y3,VLOOKUP([1]表框架!Y3,'[1]PIN list'!$B:$E,2)))</f>
        <v>410
D_GND</v>
      </c>
      <c r="Z3" s="15" t="str">
        <f>IF(COUNTA([1]表框架!Z3)=0,"",_xlfn.TEXTJOIN(CHAR(10),FALSE,[1]表框架!Z3,VLOOKUP([1]表框架!Z3,'[1]PIN list'!$B:$E,2)))</f>
        <v>404
D_GND</v>
      </c>
      <c r="AA3" s="15" t="str">
        <f>IF(COUNTA([1]表框架!AA3)=0,"",_xlfn.TEXTJOIN(CHAR(10),FALSE,[1]表框架!AA3,VLOOKUP([1]表框架!AA3,'[1]PIN list'!$B:$E,2)))</f>
        <v>401
D_GND</v>
      </c>
      <c r="AB3" s="15" t="str">
        <f>IF(COUNTA([1]表框架!AB3)=0,"",_xlfn.TEXTJOIN(CHAR(10),FALSE,[1]表框架!AB3,VLOOKUP([1]表框架!AB3,'[1]PIN list'!$B:$E,2)))</f>
        <v>399
D_GND</v>
      </c>
      <c r="AC3" s="6" t="str">
        <f>IF(COUNTA([1]表框架!AC3)=0,"",_xlfn.TEXTJOIN(CHAR(10),FALSE,[1]表框架!AC3,VLOOKUP([1]表框架!AC3,'[1]PIN list'!$B:$E,2)))</f>
        <v/>
      </c>
      <c r="AD3" s="35" t="str">
        <f>IF(COUNTA([1]表框架!AD3)=0,"",_xlfn.TEXTJOIN(CHAR(10),FALSE,[1]表框架!AD3,VLOOKUP([1]表框架!AD3,'[1]PIN list'!$B:$E,2)))</f>
        <v>396
D_GND</v>
      </c>
    </row>
    <row r="4" s="1" customFormat="1" ht="56.65" customHeight="1" spans="1:33">
      <c r="A4" s="1">
        <v>3</v>
      </c>
      <c r="B4" s="9" t="str">
        <f>IF(COUNTA([1]表框架!B4)=0,"",_xlfn.TEXTJOIN(CHAR(10),FALSE,[1]表框架!B4,VLOOKUP([1]表框架!B4,'[1]PIN list'!$B:$E,2)))</f>
        <v>2
CSI2B_RDN1</v>
      </c>
      <c r="C4" s="10" t="str">
        <f>IF(COUNTA([1]表框架!C4)=0,"",_xlfn.TEXTJOIN(CHAR(10),FALSE,[1]表框架!C4,VLOOKUP([1]表框架!C4,'[1]PIN list'!$B:$E,2)))</f>
        <v>3
CSI2B_RDP1</v>
      </c>
      <c r="D4" s="6" t="str">
        <f>IF(COUNTA([1]表框架!D4)=0,"",_xlfn.TEXTJOIN(CHAR(10),FALSE,[1]表框架!D4,VLOOKUP([1]表框架!D4,'[1]PIN list'!$B:$E,2)))</f>
        <v/>
      </c>
      <c r="E4" s="7" t="str">
        <f>IF(COUNTA([1]表框架!E4)=0,"",_xlfn.TEXTJOIN(CHAR(10),FALSE,[1]表框架!E4,VLOOKUP([1]表框架!E4,'[1]PIN list'!$B:$E,2)))</f>
        <v>523
D_GND</v>
      </c>
      <c r="F4" s="8" t="str">
        <f>IF(COUNTA([1]表框架!F4)=0,"",_xlfn.TEXTJOIN(CHAR(10),FALSE,[1]表框架!F4,VLOOKUP([1]表框架!F4,'[1]PIN list'!$B:$E,2)))</f>
        <v>521
VBAT</v>
      </c>
      <c r="G4" s="8" t="str">
        <f>IF(COUNTA([1]表框架!G4)=0,"",_xlfn.TEXTJOIN(CHAR(10),FALSE,[1]表框架!G4,VLOOKUP([1]表框架!G4,'[1]PIN list'!$B:$E,2)))</f>
        <v>516
VBAT</v>
      </c>
      <c r="H4" s="7" t="str">
        <f>IF(COUNTA([1]表框架!H4)=0,"",_xlfn.TEXTJOIN(CHAR(10),FALSE,[1]表框架!H4,VLOOKUP([1]表框架!H4,'[1]PIN list'!$B:$E,2)))</f>
        <v>510
D_GND</v>
      </c>
      <c r="I4" s="19" t="str">
        <f>IF(COUNTA([1]表框架!I4)=0,"",_xlfn.TEXTJOIN(CHAR(10),FALSE,[1]表框架!I4,VLOOKUP([1]表框架!I4,'[1]PIN list'!$B:$E,2)))</f>
        <v>505
VBUS</v>
      </c>
      <c r="J4" s="26" t="str">
        <f>IF(COUNTA([1]表框架!J4)=0,"",_xlfn.TEXTJOIN(CHAR(10),FALSE,[1]表框架!J4,VLOOKUP([1]表框架!J4,'[1]PIN list'!$B:$E,2)))</f>
        <v>498
INT_SIM1</v>
      </c>
      <c r="K4" s="19" t="str">
        <f>IF(COUNTA([1]表框架!K4)=0,"",_xlfn.TEXTJOIN(CHAR(10),FALSE,[1]表框架!K4,VLOOKUP([1]表框架!K4,'[1]PIN list'!$B:$E,2)))</f>
        <v>493
SPI0_MI</v>
      </c>
      <c r="L4" s="11" t="str">
        <f>IF(COUNTA([1]表框架!L4)=0,"",_xlfn.TEXTJOIN(CHAR(10),FALSE,[1]表框架!L4,VLOOKUP([1]表框架!L4,'[1]PIN list'!$B:$E,2)))</f>
        <v>486
SPI0_CK</v>
      </c>
      <c r="M4" s="19" t="str">
        <f>IF(COUNTA([1]表框架!M4)=0,"",_xlfn.TEXTJOIN(CHAR(10),FALSE,[1]表框架!M4,VLOOKUP([1]表框架!M4,'[1]PIN list'!$B:$E,2)))</f>
        <v>481
SPI0_CSB</v>
      </c>
      <c r="N4" s="11" t="str">
        <f>IF(COUNTA([1]表框架!N4)=0,"",_xlfn.TEXTJOIN(CHAR(10),FALSE,[1]表框架!N4,VLOOKUP([1]表框架!N4,'[1]PIN list'!$B:$E,2)))</f>
        <v>474
SPI0_MO</v>
      </c>
      <c r="O4" s="19" t="str">
        <f>IF(COUNTA([1]表框架!O4)=0,"",_xlfn.TEXTJOIN(CHAR(10),FALSE,[1]表框架!O4,VLOOKUP([1]表框架!O4,'[1]PIN list'!$B:$E,2)))</f>
        <v>469
GPIO45</v>
      </c>
      <c r="P4" s="10" t="str">
        <f>IF(COUNTA([1]表框架!P4)=0,"",_xlfn.TEXTJOIN(CHAR(10),FALSE,[1]表框架!P4,VLOOKUP([1]表框架!P4,'[1]PIN list'!$B:$E,2)))</f>
        <v>462
CSI4A_RCN</v>
      </c>
      <c r="Q4" s="10" t="str">
        <f>IF(COUNTA([1]表框架!Q4)=0,"",_xlfn.TEXTJOIN(CHAR(10),FALSE,[1]表框架!Q4,VLOOKUP([1]表框架!Q4,'[1]PIN list'!$B:$E,2)))</f>
        <v>457
CSI4A_RDN2</v>
      </c>
      <c r="R4" s="10" t="str">
        <f>IF(COUNTA([1]表框架!R4)=0,"",_xlfn.TEXTJOIN(CHAR(10),FALSE,[1]表框架!R4,VLOOKUP([1]表框架!R4,'[1]PIN list'!$B:$E,2)))</f>
        <v>450
CSI5B_RDN3</v>
      </c>
      <c r="S4" s="10" t="str">
        <f>IF(COUNTA([1]表框架!S4)=0,"",_xlfn.TEXTJOIN(CHAR(10),FALSE,[1]表框架!S4,VLOOKUP([1]表框架!S4,'[1]PIN list'!$B:$E,2)))</f>
        <v>445
CSI5A_RCN</v>
      </c>
      <c r="T4" s="10" t="str">
        <f>IF(COUNTA([1]表框架!T4)=0,"",_xlfn.TEXTJOIN(CHAR(10),FALSE,[1]表框架!T4,VLOOKUP([1]表框架!T4,'[1]PIN list'!$B:$E,2)))</f>
        <v>438
CSI5A_RDN2</v>
      </c>
      <c r="U4" s="19" t="str">
        <f>IF(COUNTA([1]表框架!U4)=0,"",_xlfn.TEXTJOIN(CHAR(10),FALSE,[1]表框架!U4,VLOOKUP([1]表框架!U4,'[1]PIN list'!$B:$E,2)))</f>
        <v>433
NC</v>
      </c>
      <c r="V4" s="11" t="str">
        <f>IF(COUNTA([1]表框架!V4)=0,"",_xlfn.TEXTJOIN(CHAR(10),FALSE,[1]表框架!V4,VLOOKUP([1]表框架!V4,'[1]PIN list'!$B:$E,2)))</f>
        <v>426
NC</v>
      </c>
      <c r="W4" s="31" t="str">
        <f>IF(COUNTA([1]表框架!W4)=0,"",_xlfn.TEXTJOIN(CHAR(10),FALSE,[1]表框架!W4,VLOOKUP([1]表框架!W4,'[1]PIN list'!$B:$E,2)))</f>
        <v>421
PCIE_CKN</v>
      </c>
      <c r="X4" s="31" t="str">
        <f>IF(COUNTA([1]表框架!X4)=0,"",_xlfn.TEXTJOIN(CHAR(10),FALSE,[1]表框架!X4,VLOOKUP([1]表框架!X4,'[1]PIN list'!$B:$E,2)))</f>
        <v>414
PCIE_LN0_RXN</v>
      </c>
      <c r="Y4" s="31" t="str">
        <f>IF(COUNTA([1]表框架!Y4)=0,"",_xlfn.TEXTJOIN(CHAR(10),FALSE,[1]表框架!Y4,VLOOKUP([1]表框架!Y4,'[1]PIN list'!$B:$E,2)))</f>
        <v>409
PCIE_LN0_TXN</v>
      </c>
      <c r="Z4" s="11" t="str">
        <f>IF(COUNTA([1]表框架!Z4)=0,"",_xlfn.TEXTJOIN(CHAR(10),FALSE,[1]表框架!Z4,VLOOKUP([1]表框架!Z4,'[1]PIN list'!$B:$E,2)))</f>
        <v>405
GPIO119_CAM_RST4</v>
      </c>
      <c r="AA4" s="7" t="str">
        <f>IF(COUNTA([1]表框架!AA4)=0,"",_xlfn.TEXTJOIN(CHAR(10),FALSE,[1]表框架!AA4,VLOOKUP([1]表框架!AA4,'[1]PIN list'!$B:$E,2)))</f>
        <v>400
D_GND</v>
      </c>
      <c r="AB4" s="6" t="str">
        <f>IF(COUNTA([1]表框架!AB4)=0,"",_xlfn.TEXTJOIN(CHAR(10),FALSE,[1]表框架!AB4,VLOOKUP([1]表框架!AB4,'[1]PIN list'!$B:$E,2)))</f>
        <v/>
      </c>
      <c r="AC4" s="12" t="str">
        <f>IF(COUNTA([1]表框架!AC4)=0,"",_xlfn.TEXTJOIN(CHAR(10),FALSE,[1]表框架!AC4,VLOOKUP([1]表框架!AC4,'[1]PIN list'!$B:$E,2)))</f>
        <v>395
BBCK5</v>
      </c>
      <c r="AD4" s="36" t="str">
        <f>IF(COUNTA([1]表框架!AD4)=0,"",_xlfn.TEXTJOIN(CHAR(10),FALSE,[1]表框架!AD4,VLOOKUP([1]表框架!AD4,'[1]PIN list'!$B:$E,2)))</f>
        <v>394
NC</v>
      </c>
      <c r="AE4" s="37"/>
      <c r="AF4" s="38" t="s">
        <v>0</v>
      </c>
      <c r="AG4" s="47" t="s">
        <v>1</v>
      </c>
    </row>
    <row r="5" s="1" customFormat="1" ht="56.65" customHeight="1" spans="1:33">
      <c r="A5" s="1">
        <v>4</v>
      </c>
      <c r="B5" s="9" t="str">
        <f>IF(COUNTA([1]表框架!B5)=0,"",_xlfn.TEXTJOIN(CHAR(10),FALSE,[1]表框架!B5,VLOOKUP([1]表框架!B5,'[1]PIN list'!$B:$E,2)))</f>
        <v>6
CSI2A_RCN</v>
      </c>
      <c r="C5" s="10" t="str">
        <f>IF(COUNTA([1]表框架!C5)=0,"",_xlfn.TEXTJOIN(CHAR(10),FALSE,[1]表框架!C5,VLOOKUP([1]表框架!C5,'[1]PIN list'!$B:$E,2)))</f>
        <v>5
CSI2A_RCP</v>
      </c>
      <c r="D5" s="7" t="str">
        <f>IF(COUNTA([1]表框架!D5)=0,"",_xlfn.TEXTJOIN(CHAR(10),FALSE,[1]表框架!D5,VLOOKUP([1]表框架!D5,'[1]PIN list'!$B:$E,2)))</f>
        <v>4
D_GND</v>
      </c>
      <c r="E5" s="6" t="str">
        <f>IF(COUNTA([1]表框架!E5)=0,"",_xlfn.TEXTJOIN(CHAR(10),FALSE,[1]表框架!E5,VLOOKUP([1]表框架!E5,'[1]PIN list'!$B:$E,2)))</f>
        <v/>
      </c>
      <c r="F5" s="7" t="str">
        <f>IF(COUNTA([1]表框架!F5)=0,"",_xlfn.TEXTJOIN(CHAR(10),FALSE,[1]表框架!F5,VLOOKUP([1]表框架!F5,'[1]PIN list'!$B:$E,2)))</f>
        <v>522
D_GND</v>
      </c>
      <c r="G5" s="7" t="str">
        <f>IF(COUNTA([1]表框架!G5)=0,"",_xlfn.TEXTJOIN(CHAR(10),FALSE,[1]表框架!G5,VLOOKUP([1]表框架!G5,'[1]PIN list'!$B:$E,2)))</f>
        <v>515
D_GND</v>
      </c>
      <c r="H5" s="7" t="str">
        <f>IF(COUNTA([1]表框架!H5)=0,"",_xlfn.TEXTJOIN(CHAR(10),FALSE,[1]表框架!H5,VLOOKUP([1]表框架!H5,'[1]PIN list'!$B:$E,2)))</f>
        <v>511
D_GND</v>
      </c>
      <c r="I5" s="11" t="str">
        <f>IF(COUNTA([1]表框架!I5)=0,"",_xlfn.TEXTJOIN(CHAR(10),FALSE,[1]表框架!I5,VLOOKUP([1]表框架!I5,'[1]PIN list'!$B:$E,2)))</f>
        <v>504
VMCH_PMU</v>
      </c>
      <c r="J5" s="7" t="str">
        <f>IF(COUNTA([1]表框架!J5)=0,"",_xlfn.TEXTJOIN(CHAR(10),FALSE,[1]表框架!J5,VLOOKUP([1]表框架!J5,'[1]PIN list'!$B:$E,2)))</f>
        <v>499
D_GND</v>
      </c>
      <c r="K5" s="7" t="str">
        <f>IF(COUNTA([1]表框架!K5)=0,"",_xlfn.TEXTJOIN(CHAR(10),FALSE,[1]表框架!K5,VLOOKUP([1]表框架!K5,'[1]PIN list'!$B:$E,2)))</f>
        <v>492
D_GND</v>
      </c>
      <c r="L5" s="27" t="str">
        <f>IF(COUNTA([1]表框架!L5)=0,"",_xlfn.TEXTJOIN(CHAR(10),FALSE,[1]表框架!L5,VLOOKUP([1]表框架!L5,'[1]PIN list'!$B:$E,2)))</f>
        <v>487
GPIO83_MSDC2_DATA3</v>
      </c>
      <c r="M5" s="27" t="str">
        <f>IF(COUNTA([1]表框架!M5)=0,"",_xlfn.TEXTJOIN(CHAR(10),FALSE,[1]表框架!M5,VLOOKUP([1]表框架!M5,'[1]PIN list'!$B:$E,2)))</f>
        <v>480
GPIO81_MSDC2_DATA1</v>
      </c>
      <c r="N5" s="27" t="str">
        <f>IF(COUNTA([1]表框架!N5)=0,"",_xlfn.TEXTJOIN(CHAR(10),FALSE,[1]表框架!N5,VLOOKUP([1]表框架!N5,'[1]PIN list'!$B:$E,2)))</f>
        <v>475
GPIO78_MSDC2_CLK</v>
      </c>
      <c r="O5" s="11" t="str">
        <f>IF(COUNTA([1]表框架!O5)=0,"",_xlfn.TEXTJOIN(CHAR(10),FALSE,[1]表框架!O5,VLOOKUP([1]表框架!O5,'[1]PIN list'!$B:$E,2)))</f>
        <v>468
GPIO44</v>
      </c>
      <c r="P5" s="10" t="str">
        <f>IF(COUNTA([1]表框架!P5)=0,"",_xlfn.TEXTJOIN(CHAR(10),FALSE,[1]表框架!P5,VLOOKUP([1]表框架!P5,'[1]PIN list'!$B:$E,2)))</f>
        <v>463
CSI4A_RCP</v>
      </c>
      <c r="Q5" s="10" t="str">
        <f>IF(COUNTA([1]表框架!Q5)=0,"",_xlfn.TEXTJOIN(CHAR(10),FALSE,[1]表框架!Q5,VLOOKUP([1]表框架!Q5,'[1]PIN list'!$B:$E,2)))</f>
        <v>456
CSI4A_RDP2</v>
      </c>
      <c r="R5" s="10" t="str">
        <f>IF(COUNTA([1]表框架!R5)=0,"",_xlfn.TEXTJOIN(CHAR(10),FALSE,[1]表框架!R5,VLOOKUP([1]表框架!R5,'[1]PIN list'!$B:$E,2)))</f>
        <v>451
CSI5B_RDP3</v>
      </c>
      <c r="S5" s="10" t="str">
        <f>IF(COUNTA([1]表框架!S5)=0,"",_xlfn.TEXTJOIN(CHAR(10),FALSE,[1]表框架!S5,VLOOKUP([1]表框架!S5,'[1]PIN list'!$B:$E,2)))</f>
        <v>444
CSI5A_RCP</v>
      </c>
      <c r="T5" s="10" t="str">
        <f>IF(COUNTA([1]表框架!T5)=0,"",_xlfn.TEXTJOIN(CHAR(10),FALSE,[1]表框架!T5,VLOOKUP([1]表框架!T5,'[1]PIN list'!$B:$E,2)))</f>
        <v>439
CSI5A_RDP2</v>
      </c>
      <c r="U5" s="11" t="str">
        <f>IF(COUNTA([1]表框架!U5)=0,"",_xlfn.TEXTJOIN(CHAR(10),FALSE,[1]表框架!U5,VLOOKUP([1]表框架!U5,'[1]PIN list'!$B:$E,2)))</f>
        <v>432
NC</v>
      </c>
      <c r="V5" s="19" t="str">
        <f>IF(COUNTA([1]表框架!V5)=0,"",_xlfn.TEXTJOIN(CHAR(10),FALSE,[1]表框架!V5,VLOOKUP([1]表框架!V5,'[1]PIN list'!$B:$E,2)))</f>
        <v>427
NC</v>
      </c>
      <c r="W5" s="31" t="str">
        <f>IF(COUNTA([1]表框架!W5)=0,"",_xlfn.TEXTJOIN(CHAR(10),FALSE,[1]表框架!W5,VLOOKUP([1]表框架!W5,'[1]PIN list'!$B:$E,2)))</f>
        <v>420
PCIE_CKP</v>
      </c>
      <c r="X5" s="31" t="str">
        <f>IF(COUNTA([1]表框架!X5)=0,"",_xlfn.TEXTJOIN(CHAR(10),FALSE,[1]表框架!X5,VLOOKUP([1]表框架!X5,'[1]PIN list'!$B:$E,2)))</f>
        <v>415
PCIE_LN0_RXP</v>
      </c>
      <c r="Y5" s="31" t="str">
        <f>IF(COUNTA([1]表框架!Y5)=0,"",_xlfn.TEXTJOIN(CHAR(10),FALSE,[1]表框架!Y5,VLOOKUP([1]表框架!Y5,'[1]PIN list'!$B:$E,2)))</f>
        <v>408
PCIE_LN0_TXP</v>
      </c>
      <c r="Z5" s="19" t="str">
        <f>IF(COUNTA([1]表框架!Z5)=0,"",_xlfn.TEXTJOIN(CHAR(10),FALSE,[1]表框架!Z5,VLOOKUP([1]表框架!Z5,'[1]PIN list'!$B:$E,2)))</f>
        <v>406
GPIO115_CAM_RST0</v>
      </c>
      <c r="AA5" s="6" t="str">
        <f>IF(COUNTA([1]表框架!AA5)=0,"",_xlfn.TEXTJOIN(CHAR(10),FALSE,[1]表框架!AA5,VLOOKUP([1]表框架!AA5,'[1]PIN list'!$B:$E,2)))</f>
        <v/>
      </c>
      <c r="AB5" s="12" t="str">
        <f>IF(COUNTA([1]表框架!AB5)=0,"",_xlfn.TEXTJOIN(CHAR(10),FALSE,[1]表框架!AB5,VLOOKUP([1]表框架!AB5,'[1]PIN list'!$B:$E,2)))</f>
        <v>391
NC</v>
      </c>
      <c r="AC5" s="13" t="str">
        <f>IF(COUNTA([1]表框架!AC5)=0,"",_xlfn.TEXTJOIN(CHAR(10),FALSE,[1]表框架!AC5,VLOOKUP([1]表框架!AC5,'[1]PIN list'!$B:$E,2)))</f>
        <v>392
NC</v>
      </c>
      <c r="AD5" s="39" t="str">
        <f>IF(COUNTA([1]表框架!AD5)=0,"",_xlfn.TEXTJOIN(CHAR(10),FALSE,[1]表框架!AD5,VLOOKUP([1]表框架!AD5,'[1]PIN list'!$B:$E,2)))</f>
        <v>393
NC</v>
      </c>
      <c r="AG5" s="48" t="s">
        <v>2</v>
      </c>
    </row>
    <row r="6" s="1" customFormat="1" ht="56.65" customHeight="1" spans="1:33">
      <c r="A6" s="1">
        <v>5</v>
      </c>
      <c r="B6" s="9" t="str">
        <f>IF(COUNTA([1]表框架!B6)=0,"",_xlfn.TEXTJOIN(CHAR(10),FALSE,[1]表框架!B6,VLOOKUP([1]表框架!B6,'[1]PIN list'!$B:$E,2)))</f>
        <v>7
CSI2A_RDN2</v>
      </c>
      <c r="C6" s="10" t="str">
        <f>IF(COUNTA([1]表框架!C6)=0,"",_xlfn.TEXTJOIN(CHAR(10),FALSE,[1]表框架!C6,VLOOKUP([1]表框架!C6,'[1]PIN list'!$B:$E,2)))</f>
        <v>8
CSI2A_RDP2</v>
      </c>
      <c r="D6" s="7" t="str">
        <f>IF(COUNTA([1]表框架!D6)=0,"",_xlfn.TEXTJOIN(CHAR(10),FALSE,[1]表框架!D6,VLOOKUP([1]表框架!D6,'[1]PIN list'!$B:$E,2)))</f>
        <v>9
D_GND</v>
      </c>
      <c r="E6" s="7" t="str">
        <f>IF(COUNTA([1]表框架!E6)=0,"",_xlfn.TEXTJOIN(CHAR(10),FALSE,[1]表框架!E6,VLOOKUP([1]表框架!E6,'[1]PIN list'!$B:$E,2)))</f>
        <v>10
D_GND</v>
      </c>
      <c r="F6" s="6" t="str">
        <f>IF(COUNTA([1]表框架!F6)=0,"",_xlfn.TEXTJOIN(CHAR(10),FALSE,[1]表框架!F6,VLOOKUP([1]表框架!F6,'[1]PIN list'!$B:$E,2)))</f>
        <v/>
      </c>
      <c r="G6" s="7" t="str">
        <f>IF(COUNTA([1]表框架!G6)=0,"",_xlfn.TEXTJOIN(CHAR(10),FALSE,[1]表框架!G6,VLOOKUP([1]表框架!G6,'[1]PIN list'!$B:$E,2)))</f>
        <v>514
D_GND</v>
      </c>
      <c r="H6" s="11" t="str">
        <f>IF(COUNTA([1]表框架!H6)=0,"",_xlfn.TEXTJOIN(CHAR(10),FALSE,[1]表框架!H6,VLOOKUP([1]表框架!H6,'[1]PIN list'!$B:$E,2)))</f>
        <v>512
PWRKEY_SW</v>
      </c>
      <c r="I6" s="19" t="str">
        <f>IF(COUNTA([1]表框架!I6)=0,"",_xlfn.TEXTJOIN(CHAR(10),FALSE,[1]表框架!I6,VLOOKUP([1]表框架!I6,'[1]PIN list'!$B:$E,2)))</f>
        <v>503
VIO28_PMU</v>
      </c>
      <c r="J6" s="11" t="str">
        <f>IF(COUNTA([1]表框架!J6)=0,"",_xlfn.TEXTJOIN(CHAR(10),FALSE,[1]表框架!J6,VLOOKUP([1]表框架!J6,'[1]PIN list'!$B:$E,2)))</f>
        <v>500
VIBR_PMU</v>
      </c>
      <c r="K6" s="7" t="str">
        <f>IF(COUNTA([1]表框架!K6)=0,"",_xlfn.TEXTJOIN(CHAR(10),FALSE,[1]表框架!K6,VLOOKUP([1]表框架!K6,'[1]PIN list'!$B:$E,2)))</f>
        <v>491
D_GND</v>
      </c>
      <c r="L6" s="7" t="str">
        <f>IF(COUNTA([1]表框架!L6)=0,"",_xlfn.TEXTJOIN(CHAR(10),FALSE,[1]表框架!L6,VLOOKUP([1]表框架!L6,'[1]PIN list'!$B:$E,2)))</f>
        <v>488
D_GND</v>
      </c>
      <c r="M6" s="27" t="str">
        <f>IF(COUNTA([1]表框架!M6)=0,"",_xlfn.TEXTJOIN(CHAR(10),FALSE,[1]表框架!M6,VLOOKUP([1]表框架!M6,'[1]PIN list'!$B:$E,2)))</f>
        <v>479
GPIO82_MSDC2_DATA2</v>
      </c>
      <c r="N6" s="27" t="str">
        <f>IF(COUNTA([1]表框架!N6)=0,"",_xlfn.TEXTJOIN(CHAR(10),FALSE,[1]表框架!N6,VLOOKUP([1]表框架!N6,'[1]PIN list'!$B:$E,2)))</f>
        <v>476
GPIO80_MSDC2_DATA0</v>
      </c>
      <c r="O6" s="27" t="str">
        <f>IF(COUNTA([1]表框架!O6)=0,"",_xlfn.TEXTJOIN(CHAR(10),FALSE,[1]表框架!O6,VLOOKUP([1]表框架!O6,'[1]PIN list'!$B:$E,2)))</f>
        <v>467
GPIO79_MSDC2_CMD</v>
      </c>
      <c r="P6" s="11" t="str">
        <f>IF(COUNTA([1]表框架!P6)=0,"",_xlfn.TEXTJOIN(CHAR(10),FALSE,[1]表框架!P6,VLOOKUP([1]表框架!P6,'[1]PIN list'!$B:$E,2)))</f>
        <v>464
GPIO221</v>
      </c>
      <c r="Q6" s="15" t="str">
        <f>IF(COUNTA([1]表框架!Q6)=0,"",_xlfn.TEXTJOIN(CHAR(10),FALSE,[1]表框架!Q6,VLOOKUP([1]表框架!Q6,'[1]PIN list'!$B:$E,2)))</f>
        <v>455
D_GND</v>
      </c>
      <c r="R6" s="11" t="str">
        <f>IF(COUNTA([1]表框架!R6)=0,"",_xlfn.TEXTJOIN(CHAR(10),FALSE,[1]表框架!R6,VLOOKUP([1]表框架!R6,'[1]PIN list'!$B:$E,2)))</f>
        <v>452
SDA4</v>
      </c>
      <c r="S6" s="19" t="str">
        <f>IF(COUNTA([1]表框架!S6)=0,"",_xlfn.TEXTJOIN(CHAR(10),FALSE,[1]表框架!S6,VLOOKUP([1]表框架!S6,'[1]PIN list'!$B:$E,2)))</f>
        <v>443
SCL4</v>
      </c>
      <c r="T6" s="11" t="str">
        <f>IF(COUNTA([1]表框架!T6)=0,"",_xlfn.TEXTJOIN(CHAR(10),FALSE,[1]表框架!T6,VLOOKUP([1]表框架!T6,'[1]PIN list'!$B:$E,2)))</f>
        <v>440
GPIO116_CAM_RST1</v>
      </c>
      <c r="U6" s="19" t="str">
        <f>IF(COUNTA([1]表框架!U6)=0,"",_xlfn.TEXTJOIN(CHAR(10),FALSE,[1]表框架!U6,VLOOKUP([1]表框架!U6,'[1]PIN list'!$B:$E,2)))</f>
        <v>431
GPIO220</v>
      </c>
      <c r="V6" s="11" t="str">
        <f>IF(COUNTA([1]表框架!V6)=0,"",_xlfn.TEXTJOIN(CHAR(10),FALSE,[1]表框架!V6,VLOOKUP([1]表框架!V6,'[1]PIN list'!$B:$E,2)))</f>
        <v>428
SDA10</v>
      </c>
      <c r="W6" s="19" t="str">
        <f>IF(COUNTA([1]表框架!W6)=0,"",_xlfn.TEXTJOIN(CHAR(10),FALSE,[1]表框架!W6,VLOOKUP([1]表框架!W6,'[1]PIN list'!$B:$E,2)))</f>
        <v>419
SCL10</v>
      </c>
      <c r="X6" s="11" t="str">
        <f>IF(COUNTA([1]表框架!X6)=0,"",_xlfn.TEXTJOIN(CHAR(10),FALSE,[1]表框架!X6,VLOOKUP([1]表框架!X6,'[1]PIN list'!$B:$E,2)))</f>
        <v>416
GPIO184_I2SIN6_0_BCK</v>
      </c>
      <c r="Y6" s="19" t="str">
        <f>IF(COUNTA([1]表框架!Y6)=0,"",_xlfn.TEXTJOIN(CHAR(10),FALSE,[1]表框架!Y6,VLOOKUP([1]表框架!Y6,'[1]PIN list'!$B:$E,2)))</f>
        <v>407
GPIO186_I2SIN6_0_DI</v>
      </c>
      <c r="Z6" s="6" t="str">
        <f>IF(COUNTA([1]表框架!Z6)=0,"",_xlfn.TEXTJOIN(CHAR(10),FALSE,[1]表框架!Z6,VLOOKUP([1]表框架!Z6,'[1]PIN list'!$B:$E,2)))</f>
        <v/>
      </c>
      <c r="AA6" s="7" t="str">
        <f>IF(COUNTA([1]表框架!AA6)=0,"",_xlfn.TEXTJOIN(CHAR(10),FALSE,[1]表框架!AA6,VLOOKUP([1]表框架!AA6,'[1]PIN list'!$B:$E,2)))</f>
        <v>390
D_GND</v>
      </c>
      <c r="AB6" s="13" t="str">
        <f>IF(COUNTA([1]表框架!AB6)=0,"",_xlfn.TEXTJOIN(CHAR(10),FALSE,[1]表框架!AB6,VLOOKUP([1]表框架!AB6,'[1]PIN list'!$B:$E,2)))</f>
        <v>389
NC</v>
      </c>
      <c r="AC6" s="12" t="str">
        <f>IF(COUNTA([1]表框架!AC6)=0,"",_xlfn.TEXTJOIN(CHAR(10),FALSE,[1]表框架!AC6,VLOOKUP([1]表框架!AC6,'[1]PIN list'!$B:$E,2)))</f>
        <v>388
NC</v>
      </c>
      <c r="AD6" s="36" t="str">
        <f>IF(COUNTA([1]表框架!AD6)=0,"",_xlfn.TEXTJOIN(CHAR(10),FALSE,[1]表框架!AD6,VLOOKUP([1]表框架!AD6,'[1]PIN list'!$B:$E,2)))</f>
        <v>387
NC</v>
      </c>
      <c r="AG6" s="49" t="s">
        <v>3</v>
      </c>
    </row>
    <row r="7" s="1" customFormat="1" ht="56.65" customHeight="1" spans="1:33">
      <c r="A7" s="1">
        <v>6</v>
      </c>
      <c r="B7" s="9" t="str">
        <f>IF(COUNTA([1]表框架!B7)=0,"",_xlfn.TEXTJOIN(CHAR(10),FALSE,[1]表框架!B7,VLOOKUP([1]表框架!B7,'[1]PIN list'!$B:$E,2)))</f>
        <v>15
CSI2A_RDN0</v>
      </c>
      <c r="C7" s="10"/>
      <c r="D7" s="12" t="str">
        <f>IF(COUNTA([1]表框架!D7)=0,"",_xlfn.TEXTJOIN(CHAR(10),FALSE,[1]表框架!D7,VLOOKUP([1]表框架!D7,'[1]PIN list'!$B:$E,2)))</f>
        <v>13
VIO18_PMU</v>
      </c>
      <c r="E7" s="7" t="str">
        <f>IF(COUNTA([1]表框架!E7)=0,"",_xlfn.TEXTJOIN(CHAR(10),FALSE,[1]表框架!E7,VLOOKUP([1]表框架!E7,'[1]PIN list'!$B:$E,2)))</f>
        <v>12
D_GND</v>
      </c>
      <c r="F7" s="7" t="str">
        <f>IF(COUNTA([1]表框架!F7)=0,"",_xlfn.TEXTJOIN(CHAR(10),FALSE,[1]表框架!F7,VLOOKUP([1]表框架!F7,'[1]PIN list'!$B:$E,2)))</f>
        <v>11
D_GND</v>
      </c>
      <c r="G7" s="6" t="str">
        <f>IF(COUNTA([1]表框架!G7)=0,"",_xlfn.TEXTJOIN(CHAR(10),FALSE,[1]表框架!G7,VLOOKUP([1]表框架!G7,'[1]PIN list'!$B:$E,2)))</f>
        <v/>
      </c>
      <c r="H7" s="7" t="str">
        <f>IF(COUNTA([1]表框架!H7)=0,"",_xlfn.TEXTJOIN(CHAR(10),FALSE,[1]表框架!H7,VLOOKUP([1]表框架!H7,'[1]PIN list'!$B:$E,2)))</f>
        <v>513
D_GND</v>
      </c>
      <c r="I7" s="11" t="str">
        <f>IF(COUNTA([1]表框架!I7)=0,"",_xlfn.TEXTJOIN(CHAR(10),FALSE,[1]表框架!I7,VLOOKUP([1]表框架!I7,'[1]PIN list'!$B:$E,2)))</f>
        <v>502
VTP_PMU</v>
      </c>
      <c r="J7" s="7" t="str">
        <f>IF(COUNTA([1]表框架!J7)=0,"",_xlfn.TEXTJOIN(CHAR(10),FALSE,[1]表框架!J7,VLOOKUP([1]表框架!J7,'[1]PIN list'!$B:$E,2)))</f>
        <v>501
D_GND</v>
      </c>
      <c r="K7" s="7" t="str">
        <f>IF(COUNTA([1]表框架!K7)=0,"",_xlfn.TEXTJOIN(CHAR(10),FALSE,[1]表框架!K7,VLOOKUP([1]表框架!K7,'[1]PIN list'!$B:$E,2)))</f>
        <v>490
D_GND</v>
      </c>
      <c r="L7" s="19" t="str">
        <f>IF(COUNTA([1]表框架!L7)=0,"",_xlfn.TEXTJOIN(CHAR(10),FALSE,[1]表框架!L7,VLOOKUP([1]表框架!L7,'[1]PIN list'!$B:$E,2)))</f>
        <v>489
GPIO134</v>
      </c>
      <c r="M7" s="11" t="str">
        <f>IF(COUNTA([1]表框架!M7)=0,"",_xlfn.TEXTJOIN(CHAR(10),FALSE,[1]表框架!M7,VLOOKUP([1]表框架!M7,'[1]PIN list'!$B:$E,2)))</f>
        <v>478
SPI1_MI</v>
      </c>
      <c r="N7" s="19" t="str">
        <f>IF(COUNTA([1]表框架!N7)=0,"",_xlfn.TEXTJOIN(CHAR(10),FALSE,[1]表框架!N7,VLOOKUP([1]表框架!N7,'[1]PIN list'!$B:$E,2)))</f>
        <v>477
SPI1_MO</v>
      </c>
      <c r="O7" s="11" t="str">
        <f>IF(COUNTA([1]表框架!O7)=0,"",_xlfn.TEXTJOIN(CHAR(10),FALSE,[1]表框架!O7,VLOOKUP([1]表框架!O7,'[1]PIN list'!$B:$E,2)))</f>
        <v>466
SPI1_CSB</v>
      </c>
      <c r="P7" s="19" t="str">
        <f>IF(COUNTA([1]表框架!P7)=0,"",_xlfn.TEXTJOIN(CHAR(10),FALSE,[1]表框架!P7,VLOOKUP([1]表框架!P7,'[1]PIN list'!$B:$E,2)))</f>
        <v>465
SPI1_CK</v>
      </c>
      <c r="Q7" s="11" t="str">
        <f>IF(COUNTA([1]表框架!Q7)=0,"",_xlfn.TEXTJOIN(CHAR(10),FALSE,[1]表框架!Q7,VLOOKUP([1]表框架!Q7,'[1]PIN list'!$B:$E,2)))</f>
        <v>454
SCL2</v>
      </c>
      <c r="R7" s="19" t="str">
        <f>IF(COUNTA([1]表框架!R7)=0,"",_xlfn.TEXTJOIN(CHAR(10),FALSE,[1]表框架!R7,VLOOKUP([1]表框架!R7,'[1]PIN list'!$B:$E,2)))</f>
        <v>453
SDA2</v>
      </c>
      <c r="S7" s="11" t="str">
        <f>IF(COUNTA([1]表框架!S7)=0,"",_xlfn.TEXTJOIN(CHAR(10),FALSE,[1]表框架!S7,VLOOKUP([1]表框架!S7,'[1]PIN list'!$B:$E,2)))</f>
        <v>442
SDA11</v>
      </c>
      <c r="T7" s="19" t="str">
        <f>IF(COUNTA([1]表框架!T7)=0,"",_xlfn.TEXTJOIN(CHAR(10),FALSE,[1]表框架!T7,VLOOKUP([1]表框架!T7,'[1]PIN list'!$B:$E,2)))</f>
        <v>441
SCL11</v>
      </c>
      <c r="U7" s="11" t="str">
        <f>IF(COUNTA([1]表框架!U7)=0,"",_xlfn.TEXTJOIN(CHAR(10),FALSE,[1]表框架!U7,VLOOKUP([1]表框架!U7,'[1]PIN list'!$B:$E,2)))</f>
        <v>430
GPIO189</v>
      </c>
      <c r="V7" s="19" t="str">
        <f>IF(COUNTA([1]表框架!V7)=0,"",_xlfn.TEXTJOIN(CHAR(10),FALSE,[1]表框架!V7,VLOOKUP([1]表框架!V7,'[1]PIN list'!$B:$E,2)))</f>
        <v>429
GPIO120_CAM_RST5</v>
      </c>
      <c r="W7" s="11" t="str">
        <f>IF(COUNTA([1]表框架!W7)=0,"",_xlfn.TEXTJOIN(CHAR(10),FALSE,[1]表框架!W7,VLOOKUP([1]表框架!W7,'[1]PIN list'!$B:$E,2)))</f>
        <v>418
GPIO185_I2SIN6_0_LRCK</v>
      </c>
      <c r="X7" s="19" t="str">
        <f>IF(COUNTA([1]表框架!X7)=0,"",_xlfn.TEXTJOIN(CHAR(10),FALSE,[1]表框架!X7,VLOOKUP([1]表框架!X7,'[1]PIN list'!$B:$E,2)))</f>
        <v>417
GPIO187_I2SOUT6_0_DO</v>
      </c>
      <c r="Y7" s="6" t="str">
        <f>IF(COUNTA([1]表框架!Y7)=0,"",_xlfn.TEXTJOIN(CHAR(10),FALSE,[1]表框架!Y7,VLOOKUP([1]表框架!Y7,'[1]PIN list'!$B:$E,2)))</f>
        <v/>
      </c>
      <c r="Z7" s="12" t="str">
        <f>IF(COUNTA([1]表框架!Z7)=0,"",_xlfn.TEXTJOIN(CHAR(10),FALSE,[1]表框架!Z7,VLOOKUP([1]表框架!Z7,'[1]PIN list'!$B:$E,2)))</f>
        <v>382
GPIO127_CAM_CLK4</v>
      </c>
      <c r="AA7" s="13" t="str">
        <f>IF(COUNTA([1]表框架!AA7)=0,"",_xlfn.TEXTJOIN(CHAR(10),FALSE,[1]表框架!AA7,VLOOKUP([1]表框架!AA7,'[1]PIN list'!$B:$E,2)))</f>
        <v>383
GPIO123_CAM_CLK0</v>
      </c>
      <c r="AB7" s="7" t="str">
        <f>IF(COUNTA([1]表框架!AB7)=0,"",_xlfn.TEXTJOIN(CHAR(10),FALSE,[1]表框架!AB7,VLOOKUP([1]表框架!AB7,'[1]PIN list'!$B:$E,2)))</f>
        <v>384
D_GND</v>
      </c>
      <c r="AC7" s="13" t="str">
        <f>IF(COUNTA([1]表框架!AC7)=0,"",_xlfn.TEXTJOIN(CHAR(10),FALSE,[1]表框架!AC7,VLOOKUP([1]表框架!AC7,'[1]PIN list'!$B:$E,2)))</f>
        <v>385
NC</v>
      </c>
      <c r="AD7" s="39" t="str">
        <f>IF(COUNTA([1]表框架!AD7)=0,"",_xlfn.TEXTJOIN(CHAR(10),FALSE,[1]表框架!AD7,VLOOKUP([1]表框架!AD7,'[1]PIN list'!$B:$E,2)))</f>
        <v>386
NC</v>
      </c>
      <c r="AG7" s="50" t="s">
        <v>4</v>
      </c>
    </row>
    <row r="8" s="1" customFormat="1" ht="56.65" customHeight="1" spans="1:35">
      <c r="A8" s="1">
        <v>7</v>
      </c>
      <c r="B8" s="9" t="str">
        <f>IF(COUNTA([1]表框架!B8)=0,"",_xlfn.TEXTJOIN(CHAR(10),FALSE,[1]表框架!B8,VLOOKUP([1]表框架!B8,'[1]PIN list'!$B:$E,2)))</f>
        <v>16
CSI2B_RDN3</v>
      </c>
      <c r="C8" s="10" t="str">
        <f>IF(COUNTA([1]表框架!C8)=0,"",_xlfn.TEXTJOIN(CHAR(10),FALSE,[1]表框架!C8,VLOOKUP([1]表框架!C8,'[1]PIN list'!$B:$E,2)))</f>
        <v>17
CSI2B_RDP3</v>
      </c>
      <c r="D8" s="13" t="str">
        <f>IF(COUNTA([1]表框架!D8)=0,"",_xlfn.TEXTJOIN(CHAR(10),FALSE,[1]表框架!D8,VLOOKUP([1]表框架!D8,'[1]PIN list'!$B:$E,2)))</f>
        <v>18
GPIO117_URXD2</v>
      </c>
      <c r="E8" s="12" t="str">
        <f>IF(COUNTA([1]表框架!E8)=0,"",_xlfn.TEXTJOIN(CHAR(10),FALSE,[1]表框架!E8,VLOOKUP([1]表框架!E8,'[1]PIN list'!$B:$E,2)))</f>
        <v>19
GPIO121_UTXD2</v>
      </c>
      <c r="F8" s="13" t="str">
        <f>IF(COUNTA([1]表框架!F8)=0,"",_xlfn.TEXTJOIN(CHAR(10),FALSE,[1]表框架!F8,VLOOKUP([1]表框架!F8,'[1]PIN list'!$B:$E,2)))</f>
        <v>20
SCL9</v>
      </c>
      <c r="G8" s="7" t="str">
        <f>IF(COUNTA([1]表框架!G8)=0,"",_xlfn.TEXTJOIN(CHAR(10),FALSE,[1]表框架!G8,VLOOKUP([1]表框架!G8,'[1]PIN list'!$B:$E,2)))</f>
        <v>21
D_GND</v>
      </c>
      <c r="H8" s="6" t="str">
        <f>IF(COUNTA([1]表框架!H8)=0,"",_xlfn.TEXTJOIN(CHAR(10),FALSE,[1]表框架!H8,VLOOKUP([1]表框架!H8,'[1]PIN list'!$B:$E,2)))</f>
        <v/>
      </c>
      <c r="I8" s="6" t="str">
        <f>IF(COUNTA([1]表框架!I8)=0,"",_xlfn.TEXTJOIN(CHAR(10),FALSE,[1]表框架!I8,VLOOKUP([1]表框架!I8,'[1]PIN list'!$B:$E,2)))</f>
        <v/>
      </c>
      <c r="J8" s="6" t="str">
        <f>IF(COUNTA([1]表框架!J8)=0,"",_xlfn.TEXTJOIN(CHAR(10),FALSE,[1]表框架!J8,VLOOKUP([1]表框架!J8,'[1]PIN list'!$B:$E,2)))</f>
        <v/>
      </c>
      <c r="K8" s="6" t="str">
        <f>IF(COUNTA([1]表框架!K8)=0,"",_xlfn.TEXTJOIN(CHAR(10),FALSE,[1]表框架!K8,VLOOKUP([1]表框架!K8,'[1]PIN list'!$B:$E,2)))</f>
        <v/>
      </c>
      <c r="L8" s="6" t="str">
        <f>IF(COUNTA([1]表框架!L8)=0,"",_xlfn.TEXTJOIN(CHAR(10),FALSE,[1]表框架!L8,VLOOKUP([1]表框架!L8,'[1]PIN list'!$B:$E,2)))</f>
        <v/>
      </c>
      <c r="M8" s="6" t="str">
        <f>IF(COUNTA([1]表框架!M8)=0,"",_xlfn.TEXTJOIN(CHAR(10),FALSE,[1]表框架!M8,VLOOKUP([1]表框架!M8,'[1]PIN list'!$B:$E,2)))</f>
        <v/>
      </c>
      <c r="N8" s="6" t="str">
        <f>IF(COUNTA([1]表框架!N8)=0,"",_xlfn.TEXTJOIN(CHAR(10),FALSE,[1]表框架!N8,VLOOKUP([1]表框架!N8,'[1]PIN list'!$B:$E,2)))</f>
        <v/>
      </c>
      <c r="O8" s="6" t="str">
        <f>IF(COUNTA([1]表框架!O8)=0,"",_xlfn.TEXTJOIN(CHAR(10),FALSE,[1]表框架!O8,VLOOKUP([1]表框架!O8,'[1]PIN list'!$B:$E,2)))</f>
        <v/>
      </c>
      <c r="P8" s="6" t="str">
        <f>IF(COUNTA([1]表框架!P8)=0,"",_xlfn.TEXTJOIN(CHAR(10),FALSE,[1]表框架!P8,VLOOKUP([1]表框架!P8,'[1]PIN list'!$B:$E,2)))</f>
        <v/>
      </c>
      <c r="Q8" s="6" t="str">
        <f>IF(COUNTA([1]表框架!Q8)=0,"",_xlfn.TEXTJOIN(CHAR(10),FALSE,[1]表框架!Q8,VLOOKUP([1]表框架!Q8,'[1]PIN list'!$B:$E,2)))</f>
        <v/>
      </c>
      <c r="R8" s="6" t="str">
        <f>IF(COUNTA([1]表框架!R8)=0,"",_xlfn.TEXTJOIN(CHAR(10),FALSE,[1]表框架!R8,VLOOKUP([1]表框架!R8,'[1]PIN list'!$B:$E,2)))</f>
        <v/>
      </c>
      <c r="S8" s="6" t="str">
        <f>IF(COUNTA([1]表框架!S8)=0,"",_xlfn.TEXTJOIN(CHAR(10),FALSE,[1]表框架!S8,VLOOKUP([1]表框架!S8,'[1]PIN list'!$B:$E,2)))</f>
        <v/>
      </c>
      <c r="T8" s="6" t="str">
        <f>IF(COUNTA([1]表框架!T8)=0,"",_xlfn.TEXTJOIN(CHAR(10),FALSE,[1]表框架!T8,VLOOKUP([1]表框架!T8,'[1]PIN list'!$B:$E,2)))</f>
        <v/>
      </c>
      <c r="U8" s="6" t="str">
        <f>IF(COUNTA([1]表框架!U8)=0,"",_xlfn.TEXTJOIN(CHAR(10),FALSE,[1]表框架!U8,VLOOKUP([1]表框架!U8,'[1]PIN list'!$B:$E,2)))</f>
        <v/>
      </c>
      <c r="V8" s="6" t="str">
        <f>IF(COUNTA([1]表框架!V8)=0,"",_xlfn.TEXTJOIN(CHAR(10),FALSE,[1]表框架!V8,VLOOKUP([1]表框架!V8,'[1]PIN list'!$B:$E,2)))</f>
        <v/>
      </c>
      <c r="W8" s="6" t="str">
        <f>IF(COUNTA([1]表框架!W8)=0,"",_xlfn.TEXTJOIN(CHAR(10),FALSE,[1]表框架!W8,VLOOKUP([1]表框架!W8,'[1]PIN list'!$B:$E,2)))</f>
        <v/>
      </c>
      <c r="X8" s="6" t="str">
        <f>IF(COUNTA([1]表框架!X8)=0,"",_xlfn.TEXTJOIN(CHAR(10),FALSE,[1]表框架!X8,VLOOKUP([1]表框架!X8,'[1]PIN list'!$B:$E,2)))</f>
        <v/>
      </c>
      <c r="Y8" s="15" t="str">
        <f>IF(COUNTA([1]表框架!Y8)=0,"",_xlfn.TEXTJOIN(CHAR(10),FALSE,[1]表框架!Y8,VLOOKUP([1]表框架!Y8,'[1]PIN list'!$B:$E,2)))</f>
        <v>381
D_GND</v>
      </c>
      <c r="Z8" s="15" t="str">
        <f>IF(COUNTA([1]表框架!Z8)=0,"",_xlfn.TEXTJOIN(CHAR(10),FALSE,[1]表框架!Z8,VLOOKUP([1]表框架!Z8,'[1]PIN list'!$B:$E,2)))</f>
        <v>380
D_GND</v>
      </c>
      <c r="AA8" s="12" t="str">
        <f>IF(COUNTA([1]表框架!AA8)=0,"",_xlfn.TEXTJOIN(CHAR(10),FALSE,[1]表框架!AA8,VLOOKUP([1]表框架!AA8,'[1]PIN list'!$B:$E,2)))</f>
        <v>379
GPIO124_CAM_CLK1</v>
      </c>
      <c r="AB8" s="13" t="str">
        <f>IF(COUNTA([1]表框架!AB8)=0,"",_xlfn.TEXTJOIN(CHAR(10),FALSE,[1]表框架!AB8,VLOOKUP([1]表框架!AB8,'[1]PIN list'!$B:$E,2)))</f>
        <v>378
GPIO128_CAM_CLK5</v>
      </c>
      <c r="AC8" s="12" t="str">
        <f>IF(COUNTA([1]表框架!AC8)=0,"",_xlfn.TEXTJOIN(CHAR(10),FALSE,[1]表框架!AC8,VLOOKUP([1]表框架!AC8,'[1]PIN list'!$B:$E,2)))</f>
        <v>377
NC</v>
      </c>
      <c r="AD8" s="40" t="str">
        <f>IF(COUNTA([1]表框架!AD8)=0,"",_xlfn.TEXTJOIN(CHAR(10),FALSE,[1]表框架!AD8,VLOOKUP([1]表框架!AD8,'[1]PIN list'!$B:$E,2)))</f>
        <v>376
D_GND</v>
      </c>
      <c r="AG8" s="51" t="s">
        <v>5</v>
      </c>
      <c r="AI8" s="43"/>
    </row>
    <row r="9" s="1" customFormat="1" ht="56.65" customHeight="1" spans="1:33">
      <c r="A9" s="1">
        <v>8</v>
      </c>
      <c r="B9" s="5" t="str">
        <f>IF(COUNTA([1]表框架!B9)=0,"",_xlfn.TEXTJOIN(CHAR(10),FALSE,[1]表框架!B9,VLOOKUP([1]表框架!B9,'[1]PIN list'!$B:$E,2)))</f>
        <v>27
D_GND</v>
      </c>
      <c r="C9" s="7" t="str">
        <f>IF(COUNTA([1]表框架!C9)=0,"",_xlfn.TEXTJOIN(CHAR(10),FALSE,[1]表框架!C9,VLOOKUP([1]表框架!C9,'[1]PIN list'!$B:$E,2)))</f>
        <v>26
D_GND</v>
      </c>
      <c r="D9" s="12" t="str">
        <f>IF(COUNTA([1]表框架!D9)=0,"",_xlfn.TEXTJOIN(CHAR(10),FALSE,[1]表框架!D9,VLOOKUP([1]表框架!D9,'[1]PIN list'!$B:$E,2)))</f>
        <v>25
GPIO125_CAM_CLK2</v>
      </c>
      <c r="E9" s="13" t="str">
        <f>IF(COUNTA([1]表框架!E9)=0,"",_xlfn.TEXTJOIN(CHAR(10),FALSE,[1]表框架!E9,VLOOKUP([1]表框架!E9,'[1]PIN list'!$B:$E,2)))</f>
        <v>24
GPIO129</v>
      </c>
      <c r="F9" s="12" t="str">
        <f>IF(COUNTA([1]表框架!F9)=0,"",_xlfn.TEXTJOIN(CHAR(10),FALSE,[1]表框架!F9,VLOOKUP([1]表框架!F9,'[1]PIN list'!$B:$E,2)))</f>
        <v>23
SDA9</v>
      </c>
      <c r="G9" s="7" t="str">
        <f>IF(COUNTA([1]表框架!G9)=0,"",_xlfn.TEXTJOIN(CHAR(10),FALSE,[1]表框架!G9,VLOOKUP([1]表框架!G9,'[1]PIN list'!$B:$E,2)))</f>
        <v>22
D_GND</v>
      </c>
      <c r="H9" s="6" t="str">
        <f>IF(COUNTA([1]表框架!H9)=0,"",_xlfn.TEXTJOIN(CHAR(10),FALSE,[1]表框架!H9,VLOOKUP([1]表框架!H9,'[1]PIN list'!$B:$E,2)))</f>
        <v/>
      </c>
      <c r="I9" s="6" t="str">
        <f>IF(COUNTA([1]表框架!I9)=0,"",_xlfn.TEXTJOIN(CHAR(10),FALSE,[1]表框架!I9,VLOOKUP([1]表框架!I9,'[1]PIN list'!$B:$E,2)))</f>
        <v/>
      </c>
      <c r="J9" s="7" t="str">
        <f>IF(COUNTA([1]表框架!J9)=0,"",_xlfn.TEXTJOIN(CHAR(10),FALSE,[1]表框架!J9,VLOOKUP([1]表框架!J9,'[1]PIN list'!$B:$E,2)))</f>
        <v>G1
D_GND</v>
      </c>
      <c r="K9" s="7" t="str">
        <f>IF(COUNTA([1]表框架!K9)=0,"",_xlfn.TEXTJOIN(CHAR(10),FALSE,[1]表框架!K9,VLOOKUP([1]表框架!K9,'[1]PIN list'!$B:$E,2)))</f>
        <v>G2
D_GND</v>
      </c>
      <c r="L9" s="7" t="str">
        <f>IF(COUNTA([1]表框架!L9)=0,"",_xlfn.TEXTJOIN(CHAR(10),FALSE,[1]表框架!L9,VLOOKUP([1]表框架!L9,'[1]PIN list'!$B:$E,2)))</f>
        <v>G3
D_GND</v>
      </c>
      <c r="M9" s="7" t="str">
        <f>IF(COUNTA([1]表框架!M9)=0,"",_xlfn.TEXTJOIN(CHAR(10),FALSE,[1]表框架!M9,VLOOKUP([1]表框架!M9,'[1]PIN list'!$B:$E,2)))</f>
        <v>G4
D_GND</v>
      </c>
      <c r="N9" s="7" t="str">
        <f>IF(COUNTA([1]表框架!N9)=0,"",_xlfn.TEXTJOIN(CHAR(10),FALSE,[1]表框架!N9,VLOOKUP([1]表框架!N9,'[1]PIN list'!$B:$E,2)))</f>
        <v>G5
D_GND</v>
      </c>
      <c r="O9" s="7" t="str">
        <f>IF(COUNTA([1]表框架!O9)=0,"",_xlfn.TEXTJOIN(CHAR(10),FALSE,[1]表框架!O9,VLOOKUP([1]表框架!O9,'[1]PIN list'!$B:$E,2)))</f>
        <v>G6
D_GND</v>
      </c>
      <c r="P9" s="7" t="str">
        <f>IF(COUNTA([1]表框架!P9)=0,"",_xlfn.TEXTJOIN(CHAR(10),FALSE,[1]表框架!P9,VLOOKUP([1]表框架!P9,'[1]PIN list'!$B:$E,2)))</f>
        <v>G7
D_GND</v>
      </c>
      <c r="Q9" s="7" t="str">
        <f>IF(COUNTA([1]表框架!Q9)=0,"",_xlfn.TEXTJOIN(CHAR(10),FALSE,[1]表框架!Q9,VLOOKUP([1]表框架!Q9,'[1]PIN list'!$B:$E,2)))</f>
        <v>G8
D_GND</v>
      </c>
      <c r="R9" s="7" t="str">
        <f>IF(COUNTA([1]表框架!R9)=0,"",_xlfn.TEXTJOIN(CHAR(10),FALSE,[1]表框架!R9,VLOOKUP([1]表框架!R9,'[1]PIN list'!$B:$E,2)))</f>
        <v>G9
D_GND</v>
      </c>
      <c r="S9" s="7" t="str">
        <f>IF(COUNTA([1]表框架!S9)=0,"",_xlfn.TEXTJOIN(CHAR(10),FALSE,[1]表框架!S9,VLOOKUP([1]表框架!S9,'[1]PIN list'!$B:$E,2)))</f>
        <v>G10
D_GND</v>
      </c>
      <c r="T9" s="7" t="str">
        <f>IF(COUNTA([1]表框架!T9)=0,"",_xlfn.TEXTJOIN(CHAR(10),FALSE,[1]表框架!T9,VLOOKUP([1]表框架!T9,'[1]PIN list'!$B:$E,2)))</f>
        <v>G11
D_GND</v>
      </c>
      <c r="U9" s="7" t="str">
        <f>IF(COUNTA([1]表框架!U9)=0,"",_xlfn.TEXTJOIN(CHAR(10),FALSE,[1]表框架!U9,VLOOKUP([1]表框架!U9,'[1]PIN list'!$B:$E,2)))</f>
        <v>G12
D_GND</v>
      </c>
      <c r="V9" s="7" t="str">
        <f>IF(COUNTA([1]表框架!V9)=0,"",_xlfn.TEXTJOIN(CHAR(10),FALSE,[1]表框架!V9,VLOOKUP([1]表框架!V9,'[1]PIN list'!$B:$E,2)))</f>
        <v>G13
D_GND</v>
      </c>
      <c r="W9" s="6" t="str">
        <f>IF(COUNTA([1]表框架!W9)=0,"",_xlfn.TEXTJOIN(CHAR(10),FALSE,[1]表框架!W9,VLOOKUP([1]表框架!W9,'[1]PIN list'!$B:$E,2)))</f>
        <v/>
      </c>
      <c r="X9" s="6" t="str">
        <f>IF(COUNTA([1]表框架!X9)=0,"",_xlfn.TEXTJOIN(CHAR(10),FALSE,[1]表框架!X9,VLOOKUP([1]表框架!X9,'[1]PIN list'!$B:$E,2)))</f>
        <v/>
      </c>
      <c r="Y9" s="13" t="str">
        <f>IF(COUNTA([1]表框架!Y9)=0,"",_xlfn.TEXTJOIN(CHAR(10),FALSE,[1]表框架!Y9,VLOOKUP([1]表框架!Y9,'[1]PIN list'!$B:$E,2)))</f>
        <v>370
GPIO179</v>
      </c>
      <c r="Z9" s="12" t="str">
        <f>IF(COUNTA([1]表框架!Z9)=0,"",_xlfn.TEXTJOIN(CHAR(10),FALSE,[1]表框架!Z9,VLOOKUP([1]表框架!Z9,'[1]PIN list'!$B:$E,2)))</f>
        <v>371
GPIO188</v>
      </c>
      <c r="AA9" s="13" t="str">
        <f>IF(COUNTA([1]表框架!AA9)=0,"",_xlfn.TEXTJOIN(CHAR(10),FALSE,[1]表框架!AA9,VLOOKUP([1]表框架!AA9,'[1]PIN list'!$B:$E,2)))</f>
        <v>372
GPIO177</v>
      </c>
      <c r="AB9" s="12" t="str">
        <f>IF(COUNTA([1]表框架!AB9)=0,"",_xlfn.TEXTJOIN(CHAR(10),FALSE,[1]表框架!AB9,VLOOKUP([1]表框架!AB9,'[1]PIN list'!$B:$E,2)))</f>
        <v>373
GPIO169_UTXD1</v>
      </c>
      <c r="AC9" s="13" t="str">
        <f>IF(COUNTA([1]表框架!AC9)=0,"",_xlfn.TEXTJOIN(CHAR(10),FALSE,[1]表框架!AC9,VLOOKUP([1]表框架!AC9,'[1]PIN list'!$B:$E,2)))</f>
        <v>374
GPIO170_URXD1</v>
      </c>
      <c r="AD9" s="41" t="str">
        <f>IF(COUNTA([1]表框架!AD9)=0,"",_xlfn.TEXTJOIN(CHAR(10),FALSE,[1]表框架!AD9,VLOOKUP([1]表框架!AD9,'[1]PIN list'!$B:$E,2)))</f>
        <v>375
GPIO59_INT_SIM2</v>
      </c>
      <c r="AG9" s="52" t="s">
        <v>6</v>
      </c>
    </row>
    <row r="10" s="1" customFormat="1" ht="56.65" customHeight="1" spans="1:33">
      <c r="A10" s="1">
        <v>9</v>
      </c>
      <c r="B10" s="9" t="str">
        <f>IF(COUNTA([1]表框架!B10)=0,"",_xlfn.TEXTJOIN(CHAR(10),FALSE,[1]表框架!B10,VLOOKUP([1]表框架!B10,'[1]PIN list'!$B:$E,2)))</f>
        <v>28
CSI1A_RDP2</v>
      </c>
      <c r="C10" s="10" t="str">
        <f>IF(COUNTA([1]表框架!C10)=0,"",_xlfn.TEXTJOIN(CHAR(10),FALSE,[1]表框架!C10,VLOOKUP([1]表框架!C10,'[1]PIN list'!$B:$E,2)))</f>
        <v>29
CSI1A_RDN2</v>
      </c>
      <c r="D10" s="13" t="str">
        <f>IF(COUNTA([1]表框架!D10)=0,"",_xlfn.TEXTJOIN(CHAR(10),FALSE,[1]表框架!D10,VLOOKUP([1]表框架!D10,'[1]PIN list'!$B:$E,2)))</f>
        <v>30
SCL12</v>
      </c>
      <c r="E10" s="12" t="str">
        <f>IF(COUNTA([1]表框架!E10)=0,"",_xlfn.TEXTJOIN(CHAR(10),FALSE,[1]表框架!E10,VLOOKUP([1]表框架!E10,'[1]PIN list'!$B:$E,2)))</f>
        <v>31
SCL8</v>
      </c>
      <c r="F10" s="13" t="str">
        <f>IF(COUNTA([1]表框架!F10)=0,"",_xlfn.TEXTJOIN(CHAR(10),FALSE,[1]表框架!F10,VLOOKUP([1]表框架!F10,'[1]PIN list'!$B:$E,2)))</f>
        <v>32
GPIO126_CAM_CLK3</v>
      </c>
      <c r="G10" s="12" t="str">
        <f>IF(COUNTA([1]表框架!G10)=0,"",_xlfn.TEXTJOIN(CHAR(10),FALSE,[1]表框架!G10,VLOOKUP([1]表框架!G10,'[1]PIN list'!$B:$E,2)))</f>
        <v>33
GPIO130</v>
      </c>
      <c r="H10" s="6" t="str">
        <f>IF(COUNTA([1]表框架!H10)=0,"",_xlfn.TEXTJOIN(CHAR(10),FALSE,[1]表框架!H10,VLOOKUP([1]表框架!H10,'[1]PIN list'!$B:$E,2)))</f>
        <v/>
      </c>
      <c r="I10" s="7" t="str">
        <f>IF(COUNTA([1]表框架!I10)=0,"",_xlfn.TEXTJOIN(CHAR(10),FALSE,[1]表框架!I10,VLOOKUP([1]表框架!I10,'[1]PIN list'!$B:$E,2)))</f>
        <v>G52
D_GND</v>
      </c>
      <c r="J10" s="6" t="str">
        <f>IF(COUNTA([1]表框架!J10)=0,"",_xlfn.TEXTJOIN(CHAR(10),FALSE,[1]表框架!J10,VLOOKUP([1]表框架!J10,'[1]PIN list'!$B:$E,2)))</f>
        <v/>
      </c>
      <c r="K10" s="6" t="str">
        <f>IF(COUNTA([1]表框架!K10)=0,"",_xlfn.TEXTJOIN(CHAR(10),FALSE,[1]表框架!K10,VLOOKUP([1]表框架!K10,'[1]PIN list'!$B:$E,2)))</f>
        <v/>
      </c>
      <c r="L10" s="6" t="str">
        <f>IF(COUNTA([1]表框架!L10)=0,"",_xlfn.TEXTJOIN(CHAR(10),FALSE,[1]表框架!L10,VLOOKUP([1]表框架!L10,'[1]PIN list'!$B:$E,2)))</f>
        <v/>
      </c>
      <c r="M10" s="6" t="str">
        <f>IF(COUNTA([1]表框架!M10)=0,"",_xlfn.TEXTJOIN(CHAR(10),FALSE,[1]表框架!M10,VLOOKUP([1]表框架!M10,'[1]PIN list'!$B:$E,2)))</f>
        <v/>
      </c>
      <c r="N10" s="6" t="str">
        <f>IF(COUNTA([1]表框架!N10)=0,"",_xlfn.TEXTJOIN(CHAR(10),FALSE,[1]表框架!N10,VLOOKUP([1]表框架!N10,'[1]PIN list'!$B:$E,2)))</f>
        <v/>
      </c>
      <c r="O10" s="6" t="str">
        <f>IF(COUNTA([1]表框架!O10)=0,"",_xlfn.TEXTJOIN(CHAR(10),FALSE,[1]表框架!O10,VLOOKUP([1]表框架!O10,'[1]PIN list'!$B:$E,2)))</f>
        <v/>
      </c>
      <c r="P10" s="6" t="str">
        <f>IF(COUNTA([1]表框架!P10)=0,"",_xlfn.TEXTJOIN(CHAR(10),FALSE,[1]表框架!P10,VLOOKUP([1]表框架!P10,'[1]PIN list'!$B:$E,2)))</f>
        <v/>
      </c>
      <c r="Q10" s="6" t="str">
        <f>IF(COUNTA([1]表框架!Q10)=0,"",_xlfn.TEXTJOIN(CHAR(10),FALSE,[1]表框架!Q10,VLOOKUP([1]表框架!Q10,'[1]PIN list'!$B:$E,2)))</f>
        <v/>
      </c>
      <c r="R10" s="6" t="str">
        <f>IF(COUNTA([1]表框架!R10)=0,"",_xlfn.TEXTJOIN(CHAR(10),FALSE,[1]表框架!R10,VLOOKUP([1]表框架!R10,'[1]PIN list'!$B:$E,2)))</f>
        <v/>
      </c>
      <c r="S10" s="6" t="str">
        <f>IF(COUNTA([1]表框架!S10)=0,"",_xlfn.TEXTJOIN(CHAR(10),FALSE,[1]表框架!S10,VLOOKUP([1]表框架!S10,'[1]PIN list'!$B:$E,2)))</f>
        <v/>
      </c>
      <c r="T10" s="6" t="str">
        <f>IF(COUNTA([1]表框架!T10)=0,"",_xlfn.TEXTJOIN(CHAR(10),FALSE,[1]表框架!T10,VLOOKUP([1]表框架!T10,'[1]PIN list'!$B:$E,2)))</f>
        <v/>
      </c>
      <c r="U10" s="6" t="str">
        <f>IF(COUNTA([1]表框架!U10)=0,"",_xlfn.TEXTJOIN(CHAR(10),FALSE,[1]表框架!U10,VLOOKUP([1]表框架!U10,'[1]PIN list'!$B:$E,2)))</f>
        <v/>
      </c>
      <c r="V10" s="6" t="str">
        <f>IF(COUNTA([1]表框架!V10)=0,"",_xlfn.TEXTJOIN(CHAR(10),FALSE,[1]表框架!V10,VLOOKUP([1]表框架!V10,'[1]PIN list'!$B:$E,2)))</f>
        <v/>
      </c>
      <c r="W10" s="7" t="str">
        <f>IF(COUNTA([1]表框架!W10)=0,"",_xlfn.TEXTJOIN(CHAR(10),FALSE,[1]表框架!W10,VLOOKUP([1]表框架!W10,'[1]PIN list'!$B:$E,2)))</f>
        <v>G14
D_GND</v>
      </c>
      <c r="X10" s="6" t="str">
        <f>IF(COUNTA([1]表框架!X10)=0,"",_xlfn.TEXTJOIN(CHAR(10),FALSE,[1]表框架!X10,VLOOKUP([1]表框架!X10,'[1]PIN list'!$B:$E,2)))</f>
        <v/>
      </c>
      <c r="Y10" s="31" t="str">
        <f>IF(COUNTA([1]表框架!Y10)=0,"",_xlfn.TEXTJOIN(CHAR(10),FALSE,[1]表框架!Y10,VLOOKUP([1]表框架!Y10,'[1]PIN list'!$B:$E,2)))</f>
        <v>369
GPIO173_PCIE_PERSTN</v>
      </c>
      <c r="Z10" s="13" t="str">
        <f>IF(COUNTA([1]表框架!Z10)=0,"",_xlfn.TEXTJOIN(CHAR(10),FALSE,[1]表框架!Z10,VLOOKUP([1]表框架!Z10,'[1]PIN list'!$B:$E,2)))</f>
        <v>368
GPIO176</v>
      </c>
      <c r="AA10" s="12" t="str">
        <f>IF(COUNTA([1]表框架!AA10)=0,"",_xlfn.TEXTJOIN(CHAR(10),FALSE,[1]表框架!AA10,VLOOKUP([1]表框架!AA10,'[1]PIN list'!$B:$E,2)))</f>
        <v>367
SPI7_CK</v>
      </c>
      <c r="AB10" s="13" t="str">
        <f>IF(COUNTA([1]表框架!AB10)=0,"",_xlfn.TEXTJOIN(CHAR(10),FALSE,[1]表框架!AB10,VLOOKUP([1]表框架!AB10,'[1]PIN list'!$B:$E,2)))</f>
        <v>366
SPI7_CSB</v>
      </c>
      <c r="AC10" s="12" t="str">
        <f>IF(COUNTA([1]表框架!AC10)=0,"",_xlfn.TEXTJOIN(CHAR(10),FALSE,[1]表框架!AC10,VLOOKUP([1]表框架!AC10,'[1]PIN list'!$B:$E,2)))</f>
        <v>365
SPI7_MI</v>
      </c>
      <c r="AD10" s="36" t="str">
        <f>IF(COUNTA([1]表框架!AD10)=0,"",_xlfn.TEXTJOIN(CHAR(10),FALSE,[1]表框架!AD10,VLOOKUP([1]表框架!AD10,'[1]PIN list'!$B:$E,2)))</f>
        <v>364
SPI7_MO</v>
      </c>
      <c r="AG10" s="53" t="s">
        <v>7</v>
      </c>
    </row>
    <row r="11" s="1" customFormat="1" ht="56.65" customHeight="1" spans="1:33">
      <c r="A11" s="1">
        <v>10</v>
      </c>
      <c r="B11" s="9" t="str">
        <f>IF(COUNTA([1]表框架!B11)=0,"",_xlfn.TEXTJOIN(CHAR(10),FALSE,[1]表框架!B11,VLOOKUP([1]表框架!B11,'[1]PIN list'!$B:$E,2)))</f>
        <v>39
CSI1A_RDP0</v>
      </c>
      <c r="C11" s="10" t="str">
        <f>IF(COUNTA([1]表框架!C11)=0,"",_xlfn.TEXTJOIN(CHAR(10),FALSE,[1]表框架!C11,VLOOKUP([1]表框架!C11,'[1]PIN list'!$B:$E,2)))</f>
        <v>38
CSI1A_RDN0</v>
      </c>
      <c r="D11" s="12" t="str">
        <f>IF(COUNTA([1]表框架!D11)=0,"",_xlfn.TEXTJOIN(CHAR(10),FALSE,[1]表框架!D11,VLOOKUP([1]表框架!D11,'[1]PIN list'!$B:$E,2)))</f>
        <v>37
SDA12</v>
      </c>
      <c r="E11" s="13" t="str">
        <f>IF(COUNTA([1]表框架!E11)=0,"",_xlfn.TEXTJOIN(CHAR(10),FALSE,[1]表框架!E11,VLOOKUP([1]表框架!E11,'[1]PIN list'!$B:$E,2)))</f>
        <v>36
SDA8</v>
      </c>
      <c r="F11" s="12" t="str">
        <f>IF(COUNTA([1]表框架!F11)=0,"",_xlfn.TEXTJOIN(CHAR(10),FALSE,[1]表框架!F11,VLOOKUP([1]表框架!F11,'[1]PIN list'!$B:$E,2)))</f>
        <v>35
GPIO35_AP_GOOD</v>
      </c>
      <c r="G11" s="13" t="str">
        <f>IF(COUNTA([1]表框架!G11)=0,"",_xlfn.TEXTJOIN(CHAR(10),FALSE,[1]表框架!G11,VLOOKUP([1]表框架!G11,'[1]PIN list'!$B:$E,2)))</f>
        <v>34
GPIO118_CAM_RST3</v>
      </c>
      <c r="H11" s="6" t="str">
        <f>IF(COUNTA([1]表框架!H11)=0,"",_xlfn.TEXTJOIN(CHAR(10),FALSE,[1]表框架!H11,VLOOKUP([1]表框架!H11,'[1]PIN list'!$B:$E,2)))</f>
        <v/>
      </c>
      <c r="I11" s="7" t="str">
        <f>IF(COUNTA([1]表框架!I11)=0,"",_xlfn.TEXTJOIN(CHAR(10),FALSE,[1]表框架!I11,VLOOKUP([1]表框架!I11,'[1]PIN list'!$B:$E,2)))</f>
        <v>G51
D_GND</v>
      </c>
      <c r="J11" s="6" t="str">
        <f>IF(COUNTA([1]表框架!J11)=0,"",_xlfn.TEXTJOIN(CHAR(10),FALSE,[1]表框架!J11,VLOOKUP([1]表框架!J11,'[1]PIN list'!$B:$E,2)))</f>
        <v/>
      </c>
      <c r="K11" s="6" t="str">
        <f>IF(COUNTA([1]表框架!K11)=0,"",_xlfn.TEXTJOIN(CHAR(10),FALSE,[1]表框架!K11,VLOOKUP([1]表框架!K11,'[1]PIN list'!$B:$E,2)))</f>
        <v/>
      </c>
      <c r="L11" s="6" t="str">
        <f>IF(COUNTA([1]表框架!L11)=0,"",_xlfn.TEXTJOIN(CHAR(10),FALSE,[1]表框架!L11,VLOOKUP([1]表框架!L11,'[1]PIN list'!$B:$E,2)))</f>
        <v/>
      </c>
      <c r="M11" s="6" t="str">
        <f>IF(COUNTA([1]表框架!M11)=0,"",_xlfn.TEXTJOIN(CHAR(10),FALSE,[1]表框架!M11,VLOOKUP([1]表框架!M11,'[1]PIN list'!$B:$E,2)))</f>
        <v/>
      </c>
      <c r="N11" s="6" t="str">
        <f>IF(COUNTA([1]表框架!N11)=0,"",_xlfn.TEXTJOIN(CHAR(10),FALSE,[1]表框架!N11,VLOOKUP([1]表框架!N11,'[1]PIN list'!$B:$E,2)))</f>
        <v/>
      </c>
      <c r="O11" s="28" t="str">
        <f>IF(COUNTA([1]表框架!O11)=0,"",_xlfn.TEXTJOIN(CHAR(10),FALSE,[1]表框架!O11,VLOOKUP([1]表框架!O11,'[1]PIN list'!$B:$E,2)))</f>
        <v/>
      </c>
      <c r="P11" s="6" t="str">
        <f>IF(COUNTA([1]表框架!P11)=0,"",_xlfn.TEXTJOIN(CHAR(10),FALSE,[1]表框架!P11,VLOOKUP([1]表框架!P11,'[1]PIN list'!$B:$E,2)))</f>
        <v/>
      </c>
      <c r="Q11" s="6" t="str">
        <f>IF(COUNTA([1]表框架!Q11)=0,"",_xlfn.TEXTJOIN(CHAR(10),FALSE,[1]表框架!Q11,VLOOKUP([1]表框架!Q11,'[1]PIN list'!$B:$E,2)))</f>
        <v/>
      </c>
      <c r="R11" s="6" t="str">
        <f>IF(COUNTA([1]表框架!R11)=0,"",_xlfn.TEXTJOIN(CHAR(10),FALSE,[1]表框架!R11,VLOOKUP([1]表框架!R11,'[1]PIN list'!$B:$E,2)))</f>
        <v/>
      </c>
      <c r="S11" s="6" t="str">
        <f>IF(COUNTA([1]表框架!S11)=0,"",_xlfn.TEXTJOIN(CHAR(10),FALSE,[1]表框架!S11,VLOOKUP([1]表框架!S11,'[1]PIN list'!$B:$E,2)))</f>
        <v/>
      </c>
      <c r="T11" s="6" t="str">
        <f>IF(COUNTA([1]表框架!T11)=0,"",_xlfn.TEXTJOIN(CHAR(10),FALSE,[1]表框架!T11,VLOOKUP([1]表框架!T11,'[1]PIN list'!$B:$E,2)))</f>
        <v/>
      </c>
      <c r="U11" s="6" t="str">
        <f>IF(COUNTA([1]表框架!U11)=0,"",_xlfn.TEXTJOIN(CHAR(10),FALSE,[1]表框架!U11,VLOOKUP([1]表框架!U11,'[1]PIN list'!$B:$E,2)))</f>
        <v/>
      </c>
      <c r="V11" s="6" t="str">
        <f>IF(COUNTA([1]表框架!V11)=0,"",_xlfn.TEXTJOIN(CHAR(10),FALSE,[1]表框架!V11,VLOOKUP([1]表框架!V11,'[1]PIN list'!$B:$E,2)))</f>
        <v/>
      </c>
      <c r="W11" s="7" t="str">
        <f>IF(COUNTA([1]表框架!W11)=0,"",_xlfn.TEXTJOIN(CHAR(10),FALSE,[1]表框架!W11,VLOOKUP([1]表框架!W11,'[1]PIN list'!$B:$E,2)))</f>
        <v>G15
D_GND</v>
      </c>
      <c r="X11" s="6" t="str">
        <f>IF(COUNTA([1]表框架!X11)=0,"",_xlfn.TEXTJOIN(CHAR(10),FALSE,[1]表框架!X11,VLOOKUP([1]表框架!X11,'[1]PIN list'!$B:$E,2)))</f>
        <v/>
      </c>
      <c r="Y11" s="31" t="str">
        <f>IF(COUNTA([1]表框架!Y11)=0,"",_xlfn.TEXTJOIN(CHAR(10),FALSE,[1]表框架!Y11,VLOOKUP([1]表框架!Y11,'[1]PIN list'!$B:$E,2)))</f>
        <v>358
GPIO175_PCIE_CLKREQN</v>
      </c>
      <c r="Z11" s="12" t="str">
        <f>IF(COUNTA([1]表框架!Z11)=0,"",_xlfn.TEXTJOIN(CHAR(10),FALSE,[1]表框架!Z11,VLOOKUP([1]表框架!Z11,'[1]PIN list'!$B:$E,2)))</f>
        <v>359
GPIO182</v>
      </c>
      <c r="AA11" s="31" t="str">
        <f>IF(COUNTA([1]表框架!AA11)=0,"",_xlfn.TEXTJOIN(CHAR(10),FALSE,[1]表框架!AA11,VLOOKUP([1]表框架!AA11,'[1]PIN list'!$B:$E,2)))</f>
        <v>360
GPIO174_PCIE_WAKEN</v>
      </c>
      <c r="AB11" s="12" t="str">
        <f>IF(COUNTA([1]表框架!AB11)=0,"",_xlfn.TEXTJOIN(CHAR(10),FALSE,[1]表框架!AB11,VLOOKUP([1]表框架!AB11,'[1]PIN list'!$B:$E,2)))</f>
        <v>361
GPIO2</v>
      </c>
      <c r="AC11" s="13" t="str">
        <f>IF(COUNTA([1]表框架!AC11)=0,"",_xlfn.TEXTJOIN(CHAR(10),FALSE,[1]表框架!AC11,VLOOKUP([1]表框架!AC11,'[1]PIN list'!$B:$E,2)))</f>
        <v>362
SCP_SDA3</v>
      </c>
      <c r="AD11" s="39" t="str">
        <f>IF(COUNTA([1]表框架!AD11)=0,"",_xlfn.TEXTJOIN(CHAR(10),FALSE,[1]表框架!AD11,VLOOKUP([1]表框架!AD11,'[1]PIN list'!$B:$E,2)))</f>
        <v>363
SCP_SCL3</v>
      </c>
      <c r="AG11" s="54" t="s">
        <v>8</v>
      </c>
    </row>
    <row r="12" s="1" customFormat="1" ht="56.65" customHeight="1" spans="1:30">
      <c r="A12" s="1">
        <v>11</v>
      </c>
      <c r="B12" s="9" t="str">
        <f>IF(COUNTA([1]表框架!B12)=0,"",_xlfn.TEXTJOIN(CHAR(10),FALSE,[1]表框架!B12,VLOOKUP([1]表框架!B12,'[1]PIN list'!$B:$E,2)))</f>
        <v>40
CSI1A_RCP</v>
      </c>
      <c r="C12" s="10" t="str">
        <f>IF(COUNTA([1]表框架!C12)=0,"",_xlfn.TEXTJOIN(CHAR(10),FALSE,[1]表框架!C12,VLOOKUP([1]表框架!C12,'[1]PIN list'!$B:$E,2)))</f>
        <v>41
CSI1A_RCN</v>
      </c>
      <c r="D12" s="13" t="str">
        <f>IF(COUNTA([1]表框架!D12)=0,"",_xlfn.TEXTJOIN(CHAR(10),FALSE,[1]表框架!D12,VLOOKUP([1]表框架!D12,'[1]PIN list'!$B:$E,2)))</f>
        <v>42
SCL13</v>
      </c>
      <c r="E12" s="12" t="str">
        <f>IF(COUNTA([1]表框架!E12)=0,"",_xlfn.TEXTJOIN(CHAR(10),FALSE,[1]表框架!E12,VLOOKUP([1]表框架!E12,'[1]PIN list'!$B:$E,2)))</f>
        <v>43
SDA13</v>
      </c>
      <c r="F12" s="13" t="str">
        <f>IF(COUNTA([1]表框架!F12)=0,"",_xlfn.TEXTJOIN(CHAR(10),FALSE,[1]表框架!F12,VLOOKUP([1]表框架!F12,'[1]PIN list'!$B:$E,2)))</f>
        <v>44
SDA1</v>
      </c>
      <c r="G12" s="12" t="str">
        <f>IF(COUNTA([1]表框架!G12)=0,"",_xlfn.TEXTJOIN(CHAR(10),FALSE,[1]表框架!G12,VLOOKUP([1]表框架!G12,'[1]PIN list'!$B:$E,2)))</f>
        <v>45
GPIO122</v>
      </c>
      <c r="H12" s="6" t="str">
        <f>IF(COUNTA([1]表框架!H12)=0,"",_xlfn.TEXTJOIN(CHAR(10),FALSE,[1]表框架!H12,VLOOKUP([1]表框架!H12,'[1]PIN list'!$B:$E,2)))</f>
        <v/>
      </c>
      <c r="I12" s="7" t="str">
        <f>IF(COUNTA([1]表框架!I12)=0,"",_xlfn.TEXTJOIN(CHAR(10),FALSE,[1]表框架!I12,VLOOKUP([1]表框架!I12,'[1]PIN list'!$B:$E,2)))</f>
        <v>G50
D_GND</v>
      </c>
      <c r="J12" s="6" t="str">
        <f>IF(COUNTA([1]表框架!J12)=0,"",_xlfn.TEXTJOIN(CHAR(10),FALSE,[1]表框架!J12,VLOOKUP([1]表框架!J12,'[1]PIN list'!$B:$E,2)))</f>
        <v/>
      </c>
      <c r="K12" s="6" t="str">
        <f>IF(COUNTA([1]表框架!K12)=0,"",_xlfn.TEXTJOIN(CHAR(10),FALSE,[1]表框架!K12,VLOOKUP([1]表框架!K12,'[1]PIN list'!$B:$E,2)))</f>
        <v/>
      </c>
      <c r="L12" s="6" t="str">
        <f>IF(COUNTA([1]表框架!L12)=0,"",_xlfn.TEXTJOIN(CHAR(10),FALSE,[1]表框架!L12,VLOOKUP([1]表框架!L12,'[1]PIN list'!$B:$E,2)))</f>
        <v/>
      </c>
      <c r="M12" s="6" t="str">
        <f>IF(COUNTA([1]表框架!M12)=0,"",_xlfn.TEXTJOIN(CHAR(10),FALSE,[1]表框架!M12,VLOOKUP([1]表框架!M12,'[1]PIN list'!$B:$E,2)))</f>
        <v/>
      </c>
      <c r="N12" s="6" t="str">
        <f>IF(COUNTA([1]表框架!N12)=0,"",_xlfn.TEXTJOIN(CHAR(10),FALSE,[1]表框架!N12,VLOOKUP([1]表框架!N12,'[1]PIN list'!$B:$E,2)))</f>
        <v/>
      </c>
      <c r="O12" s="6" t="str">
        <f>IF(COUNTA([1]表框架!O12)=0,"",_xlfn.TEXTJOIN(CHAR(10),FALSE,[1]表框架!O12,VLOOKUP([1]表框架!O12,'[1]PIN list'!$B:$E,2)))</f>
        <v/>
      </c>
      <c r="P12" s="6" t="str">
        <f>IF(COUNTA([1]表框架!P12)=0,"",_xlfn.TEXTJOIN(CHAR(10),FALSE,[1]表框架!P12,VLOOKUP([1]表框架!P12,'[1]PIN list'!$B:$E,2)))</f>
        <v/>
      </c>
      <c r="Q12" s="6" t="str">
        <f>IF(COUNTA([1]表框架!Q12)=0,"",_xlfn.TEXTJOIN(CHAR(10),FALSE,[1]表框架!Q12,VLOOKUP([1]表框架!Q12,'[1]PIN list'!$B:$E,2)))</f>
        <v/>
      </c>
      <c r="R12" s="6" t="str">
        <f>IF(COUNTA([1]表框架!R12)=0,"",_xlfn.TEXTJOIN(CHAR(10),FALSE,[1]表框架!R12,VLOOKUP([1]表框架!R12,'[1]PIN list'!$B:$E,2)))</f>
        <v/>
      </c>
      <c r="S12" s="6" t="str">
        <f>IF(COUNTA([1]表框架!S12)=0,"",_xlfn.TEXTJOIN(CHAR(10),FALSE,[1]表框架!S12,VLOOKUP([1]表框架!S12,'[1]PIN list'!$B:$E,2)))</f>
        <v/>
      </c>
      <c r="T12" s="6" t="str">
        <f>IF(COUNTA([1]表框架!T12)=0,"",_xlfn.TEXTJOIN(CHAR(10),FALSE,[1]表框架!T12,VLOOKUP([1]表框架!T12,'[1]PIN list'!$B:$E,2)))</f>
        <v/>
      </c>
      <c r="U12" s="6" t="str">
        <f>IF(COUNTA([1]表框架!U12)=0,"",_xlfn.TEXTJOIN(CHAR(10),FALSE,[1]表框架!U12,VLOOKUP([1]表框架!U12,'[1]PIN list'!$B:$E,2)))</f>
        <v/>
      </c>
      <c r="V12" s="6" t="str">
        <f>IF(COUNTA([1]表框架!V12)=0,"",_xlfn.TEXTJOIN(CHAR(10),FALSE,[1]表框架!V12,VLOOKUP([1]表框架!V12,'[1]PIN list'!$B:$E,2)))</f>
        <v/>
      </c>
      <c r="W12" s="7" t="str">
        <f>IF(COUNTA([1]表框架!W12)=0,"",_xlfn.TEXTJOIN(CHAR(10),FALSE,[1]表框架!W12,VLOOKUP([1]表框架!W12,'[1]PIN list'!$B:$E,2)))</f>
        <v>G16
D_GND</v>
      </c>
      <c r="X12" s="6" t="str">
        <f>IF(COUNTA([1]表框架!X12)=0,"",_xlfn.TEXTJOIN(CHAR(10),FALSE,[1]表框架!X12,VLOOKUP([1]表框架!X12,'[1]PIN list'!$B:$E,2)))</f>
        <v/>
      </c>
      <c r="Y12" s="12" t="str">
        <f>IF(COUNTA([1]表框架!Y12)=0,"",_xlfn.TEXTJOIN(CHAR(10),FALSE,[1]表框架!Y12,VLOOKUP([1]表框架!Y12,'[1]PIN list'!$B:$E,2)))</f>
        <v>357
GPIO181_UTXD3</v>
      </c>
      <c r="Z12" s="13" t="str">
        <f>IF(COUNTA([1]表框架!Z12)=0,"",_xlfn.TEXTJOIN(CHAR(10),FALSE,[1]表框架!Z12,VLOOKUP([1]表框架!Z12,'[1]PIN list'!$B:$E,2)))</f>
        <v>356
GPIO180_URXD3</v>
      </c>
      <c r="AA12" s="12" t="str">
        <f>IF(COUNTA([1]表框架!AA12)=0,"",_xlfn.TEXTJOIN(CHAR(10),FALSE,[1]表框架!AA12,VLOOKUP([1]表框架!AA12,'[1]PIN list'!$B:$E,2)))</f>
        <v>355
GPIO183</v>
      </c>
      <c r="AB12" s="13" t="str">
        <f>IF(COUNTA([1]表框架!AB12)=0,"",_xlfn.TEXTJOIN(CHAR(10),FALSE,[1]表框架!AB12,VLOOKUP([1]表框架!AB12,'[1]PIN list'!$B:$E,2)))</f>
        <v>354
GPIO178</v>
      </c>
      <c r="AC12" s="12" t="str">
        <f>IF(COUNTA([1]表框架!AC12)=0,"",_xlfn.TEXTJOIN(CHAR(10),FALSE,[1]表框架!AC12,VLOOKUP([1]表框架!AC12,'[1]PIN list'!$B:$E,2)))</f>
        <v>353
GPIO1_FMI2S_DI</v>
      </c>
      <c r="AD12" s="36" t="str">
        <f>IF(COUNTA([1]表框架!AD12)=0,"",_xlfn.TEXTJOIN(CHAR(10),FALSE,[1]表框架!AD12,VLOOKUP([1]表框架!AD12,'[1]PIN list'!$B:$E,2)))</f>
        <v>352
GPIO40_LCM1_RST</v>
      </c>
    </row>
    <row r="13" s="1" customFormat="1" ht="56.65" customHeight="1" spans="1:32">
      <c r="A13" s="1">
        <v>12</v>
      </c>
      <c r="B13" s="9" t="str">
        <f>IF(COUNTA([1]表框架!B13)=0,"",_xlfn.TEXTJOIN(CHAR(10),FALSE,[1]表框架!B13,VLOOKUP([1]表框架!B13,'[1]PIN list'!$B:$E,2)))</f>
        <v>51
CSI1B_RDP1</v>
      </c>
      <c r="C13" s="10" t="str">
        <f>IF(COUNTA([1]表框架!C13)=0,"",_xlfn.TEXTJOIN(CHAR(10),FALSE,[1]表框架!C13,VLOOKUP([1]表框架!C13,'[1]PIN list'!$B:$E,2)))</f>
        <v>50
CSI1B_RDN1</v>
      </c>
      <c r="D13" s="12" t="str">
        <f>IF(COUNTA([1]表框架!D13)=0,"",_xlfn.TEXTJOIN(CHAR(10),FALSE,[1]表框架!D13,VLOOKUP([1]表框架!D13,'[1]PIN list'!$B:$E,2)))</f>
        <v>49
GPIO104_TDM_LRCK</v>
      </c>
      <c r="E13" s="7" t="str">
        <f>IF(COUNTA([1]表框架!E13)=0,"",_xlfn.TEXTJOIN(CHAR(10),FALSE,[1]表框架!E13,VLOOKUP([1]表框架!E13,'[1]PIN list'!$B:$E,2)))</f>
        <v>48
D_GND</v>
      </c>
      <c r="F13" s="12" t="str">
        <f>IF(COUNTA([1]表框架!F13)=0,"",_xlfn.TEXTJOIN(CHAR(10),FALSE,[1]表框架!F13,VLOOKUP([1]表框架!F13,'[1]PIN list'!$B:$E,2)))</f>
        <v>47
SCL1</v>
      </c>
      <c r="G13" s="7" t="str">
        <f>IF(COUNTA([1]表框架!G13)=0,"",_xlfn.TEXTJOIN(CHAR(10),FALSE,[1]表框架!G13,VLOOKUP([1]表框架!G13,'[1]PIN list'!$B:$E,2)))</f>
        <v>46
D_GND</v>
      </c>
      <c r="H13" s="6" t="str">
        <f>IF(COUNTA([1]表框架!H13)=0,"",_xlfn.TEXTJOIN(CHAR(10),FALSE,[1]表框架!H13,VLOOKUP([1]表框架!H13,'[1]PIN list'!$B:$E,2)))</f>
        <v/>
      </c>
      <c r="I13" s="7" t="str">
        <f>IF(COUNTA([1]表框架!I13)=0,"",_xlfn.TEXTJOIN(CHAR(10),FALSE,[1]表框架!I13,VLOOKUP([1]表框架!I13,'[1]PIN list'!$B:$E,2)))</f>
        <v>G49
D_GND</v>
      </c>
      <c r="J13" s="6" t="str">
        <f>IF(COUNTA([1]表框架!J13)=0,"",_xlfn.TEXTJOIN(CHAR(10),FALSE,[1]表框架!J13,VLOOKUP([1]表框架!J13,'[1]PIN list'!$B:$E,2)))</f>
        <v/>
      </c>
      <c r="K13" s="6" t="str">
        <f>IF(COUNTA([1]表框架!K13)=0,"",_xlfn.TEXTJOIN(CHAR(10),FALSE,[1]表框架!K13,VLOOKUP([1]表框架!K13,'[1]PIN list'!$B:$E,2)))</f>
        <v/>
      </c>
      <c r="L13" s="6" t="str">
        <f>IF(COUNTA([1]表框架!L13)=0,"",_xlfn.TEXTJOIN(CHAR(10),FALSE,[1]表框架!L13,VLOOKUP([1]表框架!L13,'[1]PIN list'!$B:$E,2)))</f>
        <v/>
      </c>
      <c r="M13" s="6" t="str">
        <f>IF(COUNTA([1]表框架!M13)=0,"",_xlfn.TEXTJOIN(CHAR(10),FALSE,[1]表框架!M13,VLOOKUP([1]表框架!M13,'[1]PIN list'!$B:$E,2)))</f>
        <v/>
      </c>
      <c r="N13" s="6" t="str">
        <f>IF(COUNTA([1]表框架!N13)=0,"",_xlfn.TEXTJOIN(CHAR(10),FALSE,[1]表框架!N13,VLOOKUP([1]表框架!N13,'[1]PIN list'!$B:$E,2)))</f>
        <v/>
      </c>
      <c r="O13" s="6" t="str">
        <f>IF(COUNTA([1]表框架!O13)=0,"",_xlfn.TEXTJOIN(CHAR(10),FALSE,[1]表框架!O13,VLOOKUP([1]表框架!O13,'[1]PIN list'!$B:$E,2)))</f>
        <v/>
      </c>
      <c r="P13" s="6" t="str">
        <f>IF(COUNTA([1]表框架!P13)=0,"",_xlfn.TEXTJOIN(CHAR(10),FALSE,[1]表框架!P13,VLOOKUP([1]表框架!P13,'[1]PIN list'!$B:$E,2)))</f>
        <v/>
      </c>
      <c r="Q13" s="6" t="str">
        <f>IF(COUNTA([1]表框架!Q13)=0,"",_xlfn.TEXTJOIN(CHAR(10),FALSE,[1]表框架!Q13,VLOOKUP([1]表框架!Q13,'[1]PIN list'!$B:$E,2)))</f>
        <v/>
      </c>
      <c r="R13" s="6" t="str">
        <f>IF(COUNTA([1]表框架!R13)=0,"",_xlfn.TEXTJOIN(CHAR(10),FALSE,[1]表框架!R13,VLOOKUP([1]表框架!R13,'[1]PIN list'!$B:$E,2)))</f>
        <v/>
      </c>
      <c r="S13" s="6" t="str">
        <f>IF(COUNTA([1]表框架!S13)=0,"",_xlfn.TEXTJOIN(CHAR(10),FALSE,[1]表框架!S13,VLOOKUP([1]表框架!S13,'[1]PIN list'!$B:$E,2)))</f>
        <v/>
      </c>
      <c r="T13" s="6" t="str">
        <f>IF(COUNTA([1]表框架!T13)=0,"",_xlfn.TEXTJOIN(CHAR(10),FALSE,[1]表框架!T13,VLOOKUP([1]表框架!T13,'[1]PIN list'!$B:$E,2)))</f>
        <v/>
      </c>
      <c r="U13" s="6" t="str">
        <f>IF(COUNTA([1]表框架!U13)=0,"",_xlfn.TEXTJOIN(CHAR(10),FALSE,[1]表框架!U13,VLOOKUP([1]表框架!U13,'[1]PIN list'!$B:$E,2)))</f>
        <v/>
      </c>
      <c r="V13" s="6" t="str">
        <f>IF(COUNTA([1]表框架!V13)=0,"",_xlfn.TEXTJOIN(CHAR(10),FALSE,[1]表框架!V13,VLOOKUP([1]表框架!V13,'[1]PIN list'!$B:$E,2)))</f>
        <v/>
      </c>
      <c r="W13" s="7" t="str">
        <f>IF(COUNTA([1]表框架!W13)=0,"",_xlfn.TEXTJOIN(CHAR(10),FALSE,[1]表框架!W13,VLOOKUP([1]表框架!W13,'[1]PIN list'!$B:$E,2)))</f>
        <v>G17
D_GND</v>
      </c>
      <c r="X13" s="6" t="str">
        <f>IF(COUNTA([1]表框架!X13)=0,"",_xlfn.TEXTJOIN(CHAR(10),FALSE,[1]表框架!X13,VLOOKUP([1]表框架!X13,'[1]PIN list'!$B:$E,2)))</f>
        <v/>
      </c>
      <c r="Y13" s="13" t="str">
        <f>IF(COUNTA([1]表框架!Y13)=0,"",_xlfn.TEXTJOIN(CHAR(10),FALSE,[1]表框架!Y13,VLOOKUP([1]表框架!Y13,'[1]PIN list'!$B:$E,2)))</f>
        <v>346
GPIO3_FMI2S_BCK</v>
      </c>
      <c r="Z13" s="42" t="str">
        <f>IF(COUNTA([1]表框架!Z13)=0,"",_xlfn.TEXTJOIN(CHAR(10),FALSE,[1]表框架!Z13,VLOOKUP([1]表框架!Z13,'[1]PIN list'!$B:$E,2)))</f>
        <v>347
GPIO42_DSI1_TE</v>
      </c>
      <c r="AA13" s="13" t="str">
        <f>IF(COUNTA([1]表框架!AA13)=0,"",_xlfn.TEXTJOIN(CHAR(10),FALSE,[1]表框架!AA13,VLOOKUP([1]表框架!AA13,'[1]PIN list'!$B:$E,2)))</f>
        <v>348
SPI2_MO</v>
      </c>
      <c r="AB13" s="12" t="str">
        <f>IF(COUNTA([1]表框架!AB13)=0,"",_xlfn.TEXTJOIN(CHAR(10),FALSE,[1]表框架!AB13,VLOOKUP([1]表框架!AB13,'[1]PIN list'!$B:$E,2)))</f>
        <v>349
SPI2_CK</v>
      </c>
      <c r="AC13" s="13" t="str">
        <f>IF(COUNTA([1]表框架!AC13)=0,"",_xlfn.TEXTJOIN(CHAR(10),FALSE,[1]表框架!AC13,VLOOKUP([1]表框架!AC13,'[1]PIN list'!$B:$E,2)))</f>
        <v>350
SPI2_CSB</v>
      </c>
      <c r="AD13" s="39" t="str">
        <f>IF(COUNTA([1]表框架!AD13)=0,"",_xlfn.TEXTJOIN(CHAR(10),FALSE,[1]表框架!AD13,VLOOKUP([1]表框架!AD13,'[1]PIN list'!$B:$E,2)))</f>
        <v>351
EINT9_CTP0</v>
      </c>
      <c r="AF13" s="43"/>
    </row>
    <row r="14" s="1" customFormat="1" ht="56.65" customHeight="1" spans="1:30">
      <c r="A14" s="1">
        <v>13</v>
      </c>
      <c r="B14" s="9" t="str">
        <f>IF(COUNTA([1]表框架!B14)=0,"",_xlfn.TEXTJOIN(CHAR(10),FALSE,[1]表框架!B14,VLOOKUP([1]表框架!B14,'[1]PIN list'!$B:$E,2)))</f>
        <v>52
CSI1B_RDP3</v>
      </c>
      <c r="C14" s="10" t="str">
        <f>IF(COUNTA([1]表框架!C14)=0,"",_xlfn.TEXTJOIN(CHAR(10),FALSE,[1]表框架!C14,VLOOKUP([1]表框架!C14,'[1]PIN list'!$B:$E,2)))</f>
        <v>53
CSI1B_RDN3</v>
      </c>
      <c r="D14" s="13" t="str">
        <f>IF(COUNTA([1]表框架!D14)=0,"",_xlfn.TEXTJOIN(CHAR(10),FALSE,[1]表框架!D14,VLOOKUP([1]表框架!D14,'[1]PIN list'!$B:$E,2)))</f>
        <v>54
GPIO100_TDMIN_DATA0</v>
      </c>
      <c r="E14" s="12" t="str">
        <f>IF(COUNTA([1]表框架!E14)=0,"",_xlfn.TEXTJOIN(CHAR(10),FALSE,[1]表框架!E14,VLOOKUP([1]表框架!E14,'[1]PIN list'!$B:$E,2)))</f>
        <v>55
GPIO95_TDMOUT_DATA0</v>
      </c>
      <c r="F14" s="13" t="str">
        <f>IF(COUNTA([1]表框架!F14)=0,"",_xlfn.TEXTJOIN(CHAR(10),FALSE,[1]表框架!F14,VLOOKUP([1]表框架!F14,'[1]PIN list'!$B:$E,2)))</f>
        <v>56
GPIO34_KPROW1</v>
      </c>
      <c r="G14" s="12" t="str">
        <f>IF(COUNTA([1]表框架!G14)=0,"",_xlfn.TEXTJOIN(CHAR(10),FALSE,[1]表框架!G14,VLOOKUP([1]表框架!G14,'[1]PIN list'!$B:$E,2)))</f>
        <v>57
GPIO31_KPCOL1</v>
      </c>
      <c r="H14" s="6" t="str">
        <f>IF(COUNTA([1]表框架!H14)=0,"",_xlfn.TEXTJOIN(CHAR(10),FALSE,[1]表框架!H14,VLOOKUP([1]表框架!H14,'[1]PIN list'!$B:$E,2)))</f>
        <v/>
      </c>
      <c r="I14" s="7" t="str">
        <f>IF(COUNTA([1]表框架!I14)=0,"",_xlfn.TEXTJOIN(CHAR(10),FALSE,[1]表框架!I14,VLOOKUP([1]表框架!I14,'[1]PIN list'!$B:$E,2)))</f>
        <v>G48
D_GND</v>
      </c>
      <c r="J14" s="6" t="str">
        <f>IF(COUNTA([1]表框架!J14)=0,"",_xlfn.TEXTJOIN(CHAR(10),FALSE,[1]表框架!J14,VLOOKUP([1]表框架!J14,'[1]PIN list'!$B:$E,2)))</f>
        <v/>
      </c>
      <c r="K14" s="6" t="str">
        <f>IF(COUNTA([1]表框架!K14)=0,"",_xlfn.TEXTJOIN(CHAR(10),FALSE,[1]表框架!K14,VLOOKUP([1]表框架!K14,'[1]PIN list'!$B:$E,2)))</f>
        <v/>
      </c>
      <c r="L14" s="6" t="str">
        <f>IF(COUNTA([1]表框架!L14)=0,"",_xlfn.TEXTJOIN(CHAR(10),FALSE,[1]表框架!L14,VLOOKUP([1]表框架!L14,'[1]PIN list'!$B:$E,2)))</f>
        <v/>
      </c>
      <c r="M14" s="6" t="str">
        <f>IF(COUNTA([1]表框架!M14)=0,"",_xlfn.TEXTJOIN(CHAR(10),FALSE,[1]表框架!M14,VLOOKUP([1]表框架!M14,'[1]PIN list'!$B:$E,2)))</f>
        <v/>
      </c>
      <c r="N14" s="6" t="str">
        <f>IF(COUNTA([1]表框架!N14)=0,"",_xlfn.TEXTJOIN(CHAR(10),FALSE,[1]表框架!N14,VLOOKUP([1]表框架!N14,'[1]PIN list'!$B:$E,2)))</f>
        <v/>
      </c>
      <c r="O14" s="6" t="str">
        <f>IF(COUNTA([1]表框架!O14)=0,"",_xlfn.TEXTJOIN(CHAR(10),FALSE,[1]表框架!O14,VLOOKUP([1]表框架!O14,'[1]PIN list'!$B:$E,2)))</f>
        <v/>
      </c>
      <c r="P14" s="6" t="str">
        <f>IF(COUNTA([1]表框架!P14)=0,"",_xlfn.TEXTJOIN(CHAR(10),FALSE,[1]表框架!P14,VLOOKUP([1]表框架!P14,'[1]PIN list'!$B:$E,2)))</f>
        <v/>
      </c>
      <c r="Q14" s="6" t="str">
        <f>IF(COUNTA([1]表框架!Q14)=0,"",_xlfn.TEXTJOIN(CHAR(10),FALSE,[1]表框架!Q14,VLOOKUP([1]表框架!Q14,'[1]PIN list'!$B:$E,2)))</f>
        <v/>
      </c>
      <c r="R14" s="6" t="str">
        <f>IF(COUNTA([1]表框架!R14)=0,"",_xlfn.TEXTJOIN(CHAR(10),FALSE,[1]表框架!R14,VLOOKUP([1]表框架!R14,'[1]PIN list'!$B:$E,2)))</f>
        <v/>
      </c>
      <c r="S14" s="6" t="str">
        <f>IF(COUNTA([1]表框架!S14)=0,"",_xlfn.TEXTJOIN(CHAR(10),FALSE,[1]表框架!S14,VLOOKUP([1]表框架!S14,'[1]PIN list'!$B:$E,2)))</f>
        <v/>
      </c>
      <c r="T14" s="6" t="str">
        <f>IF(COUNTA([1]表框架!T14)=0,"",_xlfn.TEXTJOIN(CHAR(10),FALSE,[1]表框架!T14,VLOOKUP([1]表框架!T14,'[1]PIN list'!$B:$E,2)))</f>
        <v/>
      </c>
      <c r="U14" s="6" t="str">
        <f>IF(COUNTA([1]表框架!U14)=0,"",_xlfn.TEXTJOIN(CHAR(10),FALSE,[1]表框架!U14,VLOOKUP([1]表框架!U14,'[1]PIN list'!$B:$E,2)))</f>
        <v/>
      </c>
      <c r="V14" s="6" t="str">
        <f>IF(COUNTA([1]表框架!V14)=0,"",_xlfn.TEXTJOIN(CHAR(10),FALSE,[1]表框架!V14,VLOOKUP([1]表框架!V14,'[1]PIN list'!$B:$E,2)))</f>
        <v/>
      </c>
      <c r="W14" s="7" t="str">
        <f>IF(COUNTA([1]表框架!W14)=0,"",_xlfn.TEXTJOIN(CHAR(10),FALSE,[1]表框架!W14,VLOOKUP([1]表框架!W14,'[1]PIN list'!$B:$E,2)))</f>
        <v>G18
D_GND</v>
      </c>
      <c r="X14" s="6" t="str">
        <f>IF(COUNTA([1]表框架!X14)=0,"",_xlfn.TEXTJOIN(CHAR(10),FALSE,[1]表框架!X14,VLOOKUP([1]表框架!X14,'[1]PIN list'!$B:$E,2)))</f>
        <v/>
      </c>
      <c r="Y14" s="12" t="str">
        <f>IF(COUNTA([1]表框架!Y14)=0,"",_xlfn.TEXTJOIN(CHAR(10),FALSE,[1]表框架!Y14,VLOOKUP([1]表框架!Y14,'[1]PIN list'!$B:$E,2)))</f>
        <v>345
EINT10_CTP1</v>
      </c>
      <c r="Z14" s="13" t="str">
        <f>IF(COUNTA([1]表框架!Z14)=0,"",_xlfn.TEXTJOIN(CHAR(10),FALSE,[1]表框架!Z14,VLOOKUP([1]表框架!Z14,'[1]PIN list'!$B:$E,2)))</f>
        <v>344
GPIO61_CTP1_RST</v>
      </c>
      <c r="AA14" s="12" t="str">
        <f>IF(COUNTA([1]表框架!AA14)=0,"",_xlfn.TEXTJOIN(CHAR(10),FALSE,[1]表框架!AA14,VLOOKUP([1]表框架!AA14,'[1]PIN list'!$B:$E,2)))</f>
        <v>343
GPIO41_LCM_RST</v>
      </c>
      <c r="AB14" s="13" t="str">
        <f>IF(COUNTA([1]表框架!AB14)=0,"",_xlfn.TEXTJOIN(CHAR(10),FALSE,[1]表框架!AB14,VLOOKUP([1]表框架!AB14,'[1]PIN list'!$B:$E,2)))</f>
        <v>342
GPIO60_CTP0_RST</v>
      </c>
      <c r="AC14" s="12" t="str">
        <f>IF(COUNTA([1]表框架!AC14)=0,"",_xlfn.TEXTJOIN(CHAR(10),FALSE,[1]表框架!AC14,VLOOKUP([1]表框架!AC14,'[1]PIN list'!$B:$E,2)))</f>
        <v>341
SPI2_MI</v>
      </c>
      <c r="AD14" s="40" t="str">
        <f>IF(COUNTA([1]表框架!AD14)=0,"",_xlfn.TEXTJOIN(CHAR(10),FALSE,[1]表框架!AD14,VLOOKUP([1]表框架!AD14,'[1]PIN list'!$B:$E,2)))</f>
        <v>340
D_GND</v>
      </c>
    </row>
    <row r="15" s="1" customFormat="1" ht="56.65" customHeight="1" spans="1:30">
      <c r="A15" s="1">
        <v>14</v>
      </c>
      <c r="B15" s="14" t="str">
        <f>IF(COUNTA([1]表框架!B15)=0,"",_xlfn.TEXTJOIN(CHAR(10),FALSE,[1]表框架!B15,VLOOKUP([1]表框架!B15,'[1]PIN list'!$B:$E,2)))</f>
        <v>63
D_GND</v>
      </c>
      <c r="C15" s="15" t="str">
        <f>IF(COUNTA([1]表框架!C15)=0,"",_xlfn.TEXTJOIN(CHAR(10),FALSE,[1]表框架!C15,VLOOKUP([1]表框架!C15,'[1]PIN list'!$B:$E,2)))</f>
        <v>62
D_GND</v>
      </c>
      <c r="D15" s="12" t="str">
        <f>IF(COUNTA([1]表框架!D15)=0,"",_xlfn.TEXTJOIN(CHAR(10),FALSE,[1]表框架!D15,VLOOKUP([1]表框架!D15,'[1]PIN list'!$B:$E,2)))</f>
        <v>61
GPIO99_TDM_BCK</v>
      </c>
      <c r="E15" s="7" t="str">
        <f>IF(COUNTA([1]表框架!E15)=0,"",_xlfn.TEXTJOIN(CHAR(10),FALSE,[1]表框架!E15,VLOOKUP([1]表框架!E15,'[1]PIN list'!$B:$E,2)))</f>
        <v>60
D_GND</v>
      </c>
      <c r="F15" s="12" t="str">
        <f>IF(COUNTA([1]表框架!F15)=0,"",_xlfn.TEXTJOIN(CHAR(10),FALSE,[1]表框架!F15,VLOOKUP([1]表框架!F15,'[1]PIN list'!$B:$E,2)))</f>
        <v>59
EINT33_SD</v>
      </c>
      <c r="G15" s="13" t="str">
        <f>IF(COUNTA([1]表框架!G15)=0,"",_xlfn.TEXTJOIN(CHAR(10),FALSE,[1]表框架!G15,VLOOKUP([1]表框架!G15,'[1]PIN list'!$B:$E,2)))</f>
        <v>58
GPIO32_KPCOL0</v>
      </c>
      <c r="H15" s="6" t="str">
        <f>IF(COUNTA([1]表框架!H15)=0,"",_xlfn.TEXTJOIN(CHAR(10),FALSE,[1]表框架!H15,VLOOKUP([1]表框架!H15,'[1]PIN list'!$B:$E,2)))</f>
        <v/>
      </c>
      <c r="I15" s="7" t="str">
        <f>IF(COUNTA([1]表框架!I15)=0,"",_xlfn.TEXTJOIN(CHAR(10),FALSE,[1]表框架!I15,VLOOKUP([1]表框架!I15,'[1]PIN list'!$B:$E,2)))</f>
        <v>G47
D_GND</v>
      </c>
      <c r="J15" s="6" t="str">
        <f>IF(COUNTA([1]表框架!J15)=0,"",_xlfn.TEXTJOIN(CHAR(10),FALSE,[1]表框架!J15,VLOOKUP([1]表框架!J15,'[1]PIN list'!$B:$E,2)))</f>
        <v/>
      </c>
      <c r="K15" s="6" t="str">
        <f>IF(COUNTA([1]表框架!K15)=0,"",_xlfn.TEXTJOIN(CHAR(10),FALSE,[1]表框架!K15,VLOOKUP([1]表框架!K15,'[1]PIN list'!$B:$E,2)))</f>
        <v/>
      </c>
      <c r="L15" s="6" t="str">
        <f>IF(COUNTA([1]表框架!L15)=0,"",_xlfn.TEXTJOIN(CHAR(10),FALSE,[1]表框架!L15,VLOOKUP([1]表框架!L15,'[1]PIN list'!$B:$E,2)))</f>
        <v/>
      </c>
      <c r="M15" s="6" t="str">
        <f>IF(COUNTA([1]表框架!M15)=0,"",_xlfn.TEXTJOIN(CHAR(10),FALSE,[1]表框架!M15,VLOOKUP([1]表框架!M15,'[1]PIN list'!$B:$E,2)))</f>
        <v/>
      </c>
      <c r="N15" s="6" t="str">
        <f>IF(COUNTA([1]表框架!N15)=0,"",_xlfn.TEXTJOIN(CHAR(10),FALSE,[1]表框架!N15,VLOOKUP([1]表框架!N15,'[1]PIN list'!$B:$E,2)))</f>
        <v/>
      </c>
      <c r="O15" s="6" t="str">
        <f>IF(COUNTA([1]表框架!O15)=0,"",_xlfn.TEXTJOIN(CHAR(10),FALSE,[1]表框架!O15,VLOOKUP([1]表框架!O15,'[1]PIN list'!$B:$E,2)))</f>
        <v/>
      </c>
      <c r="P15" s="6" t="str">
        <f>IF(COUNTA([1]表框架!P15)=0,"",_xlfn.TEXTJOIN(CHAR(10),FALSE,[1]表框架!P15,VLOOKUP([1]表框架!P15,'[1]PIN list'!$B:$E,2)))</f>
        <v/>
      </c>
      <c r="Q15" s="6" t="str">
        <f>IF(COUNTA([1]表框架!Q15)=0,"",_xlfn.TEXTJOIN(CHAR(10),FALSE,[1]表框架!Q15,VLOOKUP([1]表框架!Q15,'[1]PIN list'!$B:$E,2)))</f>
        <v/>
      </c>
      <c r="R15" s="6" t="str">
        <f>IF(COUNTA([1]表框架!R15)=0,"",_xlfn.TEXTJOIN(CHAR(10),FALSE,[1]表框架!R15,VLOOKUP([1]表框架!R15,'[1]PIN list'!$B:$E,2)))</f>
        <v/>
      </c>
      <c r="S15" s="6" t="str">
        <f>IF(COUNTA([1]表框架!S15)=0,"",_xlfn.TEXTJOIN(CHAR(10),FALSE,[1]表框架!S15,VLOOKUP([1]表框架!S15,'[1]PIN list'!$B:$E,2)))</f>
        <v/>
      </c>
      <c r="T15" s="6" t="str">
        <f>IF(COUNTA([1]表框架!T15)=0,"",_xlfn.TEXTJOIN(CHAR(10),FALSE,[1]表框架!T15,VLOOKUP([1]表框架!T15,'[1]PIN list'!$B:$E,2)))</f>
        <v/>
      </c>
      <c r="U15" s="6" t="str">
        <f>IF(COUNTA([1]表框架!U15)=0,"",_xlfn.TEXTJOIN(CHAR(10),FALSE,[1]表框架!U15,VLOOKUP([1]表框架!U15,'[1]PIN list'!$B:$E,2)))</f>
        <v/>
      </c>
      <c r="V15" s="6" t="str">
        <f>IF(COUNTA([1]表框架!V15)=0,"",_xlfn.TEXTJOIN(CHAR(10),FALSE,[1]表框架!V15,VLOOKUP([1]表框架!V15,'[1]PIN list'!$B:$E,2)))</f>
        <v/>
      </c>
      <c r="W15" s="7" t="str">
        <f>IF(COUNTA([1]表框架!W15)=0,"",_xlfn.TEXTJOIN(CHAR(10),FALSE,[1]表框架!W15,VLOOKUP([1]表框架!W15,'[1]PIN list'!$B:$E,2)))</f>
        <v>G19
D_GND</v>
      </c>
      <c r="X15" s="6" t="str">
        <f>IF(COUNTA([1]表框架!X15)=0,"",_xlfn.TEXTJOIN(CHAR(10),FALSE,[1]表框架!X15,VLOOKUP([1]表框架!X15,'[1]PIN list'!$B:$E,2)))</f>
        <v/>
      </c>
      <c r="Y15" s="42" t="str">
        <f>IF(COUNTA([1]表框架!Y15)=0,"",_xlfn.TEXTJOIN(CHAR(10),FALSE,[1]表框架!Y15,VLOOKUP([1]表框架!Y15,'[1]PIN list'!$B:$E,2)))</f>
        <v>334
GPIO43_DSI_TE</v>
      </c>
      <c r="Z15" s="7" t="str">
        <f>IF(COUNTA([1]表框架!Z15)=0,"",_xlfn.TEXTJOIN(CHAR(10),FALSE,[1]表框架!Z15,VLOOKUP([1]表框架!Z15,'[1]PIN list'!$B:$E,2)))</f>
        <v>335
D_GND</v>
      </c>
      <c r="AA15" s="13" t="str">
        <f>IF(COUNTA([1]表框架!AA15)=0,"",_xlfn.TEXTJOIN(CHAR(10),FALSE,[1]表框架!AA15,VLOOKUP([1]表框架!AA15,'[1]PIN list'!$B:$E,2)))</f>
        <v>336
NC</v>
      </c>
      <c r="AB15" s="12" t="str">
        <f>IF(COUNTA([1]表框架!AB15)=0,"",_xlfn.TEXTJOIN(CHAR(10),FALSE,[1]表框架!AB15,VLOOKUP([1]表框架!AB15,'[1]PIN list'!$B:$E,2)))</f>
        <v>337
SCP_EINT_6338</v>
      </c>
      <c r="AC15" s="13" t="str">
        <f>IF(COUNTA([1]表框架!AC15)=0,"",_xlfn.TEXTJOIN(CHAR(10),FALSE,[1]表框架!AC15,VLOOKUP([1]表框架!AC15,'[1]PIN list'!$B:$E,2)))</f>
        <v>338
SRCLKENA0</v>
      </c>
      <c r="AD15" s="40" t="str">
        <f>IF(COUNTA([1]表框架!AD15)=0,"",_xlfn.TEXTJOIN(CHAR(10),FALSE,[1]表框架!AD15,VLOOKUP([1]表框架!AD15,'[1]PIN list'!$B:$E,2)))</f>
        <v>339
D_GND</v>
      </c>
    </row>
    <row r="16" s="1" customFormat="1" ht="56.65" customHeight="1" spans="1:30">
      <c r="A16" s="1">
        <v>15</v>
      </c>
      <c r="B16" s="9" t="str">
        <f>IF(COUNTA([1]表框架!B16)=0,"",_xlfn.TEXTJOIN(CHAR(10),FALSE,[1]表框架!B16,VLOOKUP([1]表框架!B16,'[1]PIN list'!$B:$E,2)))</f>
        <v>64
CSI0A_RCP</v>
      </c>
      <c r="C16" s="10" t="str">
        <f>IF(COUNTA([1]表框架!C16)=0,"",_xlfn.TEXTJOIN(CHAR(10),FALSE,[1]表框架!C16,VLOOKUP([1]表框架!C16,'[1]PIN list'!$B:$E,2)))</f>
        <v>65
CSI0A_RCN</v>
      </c>
      <c r="D16" s="13" t="str">
        <f>IF(COUNTA([1]表框架!D16)=0,"",_xlfn.TEXTJOIN(CHAR(10),FALSE,[1]表框架!D16,VLOOKUP([1]表框架!D16,'[1]PIN list'!$B:$E,2)))</f>
        <v>66
BPI_D_BUS4</v>
      </c>
      <c r="E16" s="12" t="str">
        <f>IF(COUNTA([1]表框架!E16)=0,"",_xlfn.TEXTJOIN(CHAR(10),FALSE,[1]表框架!E16,VLOOKUP([1]表框架!E16,'[1]PIN list'!$B:$E,2)))</f>
        <v>67
GPIO97</v>
      </c>
      <c r="F16" s="13" t="str">
        <f>IF(COUNTA([1]表框架!F16)=0,"",_xlfn.TEXTJOIN(CHAR(10),FALSE,[1]表框架!F16,VLOOKUP([1]表框架!F16,'[1]PIN list'!$B:$E,2)))</f>
        <v>68
GPIO103_LGA-DAT3</v>
      </c>
      <c r="G16" s="12" t="str">
        <f>IF(COUNTA([1]表框架!G16)=0,"",_xlfn.TEXTJOIN(CHAR(10),FALSE,[1]表框架!G16,VLOOKUP([1]表框架!G16,'[1]PIN list'!$B:$E,2)))</f>
        <v>69
GPIO102</v>
      </c>
      <c r="H16" s="6" t="str">
        <f>IF(COUNTA([1]表框架!H16)=0,"",_xlfn.TEXTJOIN(CHAR(10),FALSE,[1]表框架!H16,VLOOKUP([1]表框架!H16,'[1]PIN list'!$B:$E,2)))</f>
        <v/>
      </c>
      <c r="I16" s="7" t="str">
        <f>IF(COUNTA([1]表框架!I16)=0,"",_xlfn.TEXTJOIN(CHAR(10),FALSE,[1]表框架!I16,VLOOKUP([1]表框架!I16,'[1]PIN list'!$B:$E,2)))</f>
        <v>G46
D_GND</v>
      </c>
      <c r="J16" s="6" t="str">
        <f>IF(COUNTA([1]表框架!J16)=0,"",_xlfn.TEXTJOIN(CHAR(10),FALSE,[1]表框架!J16,VLOOKUP([1]表框架!J16,'[1]PIN list'!$B:$E,2)))</f>
        <v/>
      </c>
      <c r="K16" s="6" t="str">
        <f>IF(COUNTA([1]表框架!K16)=0,"",_xlfn.TEXTJOIN(CHAR(10),FALSE,[1]表框架!K16,VLOOKUP([1]表框架!K16,'[1]PIN list'!$B:$E,2)))</f>
        <v/>
      </c>
      <c r="L16" s="6" t="str">
        <f>IF(COUNTA([1]表框架!L16)=0,"",_xlfn.TEXTJOIN(CHAR(10),FALSE,[1]表框架!L16,VLOOKUP([1]表框架!L16,'[1]PIN list'!$B:$E,2)))</f>
        <v/>
      </c>
      <c r="M16" s="6" t="str">
        <f>IF(COUNTA([1]表框架!M16)=0,"",_xlfn.TEXTJOIN(CHAR(10),FALSE,[1]表框架!M16,VLOOKUP([1]表框架!M16,'[1]PIN list'!$B:$E,2)))</f>
        <v/>
      </c>
      <c r="N16" s="6" t="str">
        <f>IF(COUNTA([1]表框架!N16)=0,"",_xlfn.TEXTJOIN(CHAR(10),FALSE,[1]表框架!N16,VLOOKUP([1]表框架!N16,'[1]PIN list'!$B:$E,2)))</f>
        <v/>
      </c>
      <c r="O16" s="6" t="str">
        <f>IF(COUNTA([1]表框架!O16)=0,"",_xlfn.TEXTJOIN(CHAR(10),FALSE,[1]表框架!O16,VLOOKUP([1]表框架!O16,'[1]PIN list'!$B:$E,2)))</f>
        <v/>
      </c>
      <c r="P16" s="6" t="str">
        <f>IF(COUNTA([1]表框架!P16)=0,"",_xlfn.TEXTJOIN(CHAR(10),FALSE,[1]表框架!P16,VLOOKUP([1]表框架!P16,'[1]PIN list'!$B:$E,2)))</f>
        <v/>
      </c>
      <c r="Q16" s="6" t="str">
        <f>IF(COUNTA([1]表框架!Q16)=0,"",_xlfn.TEXTJOIN(CHAR(10),FALSE,[1]表框架!Q16,VLOOKUP([1]表框架!Q16,'[1]PIN list'!$B:$E,2)))</f>
        <v/>
      </c>
      <c r="R16" s="6" t="str">
        <f>IF(COUNTA([1]表框架!R16)=0,"",_xlfn.TEXTJOIN(CHAR(10),FALSE,[1]表框架!R16,VLOOKUP([1]表框架!R16,'[1]PIN list'!$B:$E,2)))</f>
        <v/>
      </c>
      <c r="S16" s="6" t="str">
        <f>IF(COUNTA([1]表框架!S16)=0,"",_xlfn.TEXTJOIN(CHAR(10),FALSE,[1]表框架!S16,VLOOKUP([1]表框架!S16,'[1]PIN list'!$B:$E,2)))</f>
        <v/>
      </c>
      <c r="T16" s="6" t="str">
        <f>IF(COUNTA([1]表框架!T16)=0,"",_xlfn.TEXTJOIN(CHAR(10),FALSE,[1]表框架!T16,VLOOKUP([1]表框架!T16,'[1]PIN list'!$B:$E,2)))</f>
        <v/>
      </c>
      <c r="U16" s="6" t="str">
        <f>IF(COUNTA([1]表框架!U16)=0,"",_xlfn.TEXTJOIN(CHAR(10),FALSE,[1]表框架!U16,VLOOKUP([1]表框架!U16,'[1]PIN list'!$B:$E,2)))</f>
        <v/>
      </c>
      <c r="V16" s="6" t="str">
        <f>IF(COUNTA([1]表框架!V16)=0,"",_xlfn.TEXTJOIN(CHAR(10),FALSE,[1]表框架!V16,VLOOKUP([1]表框架!V16,'[1]PIN list'!$B:$E,2)))</f>
        <v/>
      </c>
      <c r="W16" s="7" t="str">
        <f>IF(COUNTA([1]表框架!W16)=0,"",_xlfn.TEXTJOIN(CHAR(10),FALSE,[1]表框架!W16,VLOOKUP([1]表框架!W16,'[1]PIN list'!$B:$E,2)))</f>
        <v>G20
D_GND</v>
      </c>
      <c r="X16" s="6" t="str">
        <f>IF(COUNTA([1]表框架!X16)=0,"",_xlfn.TEXTJOIN(CHAR(10),FALSE,[1]表框架!X16,VLOOKUP([1]表框架!X16,'[1]PIN list'!$B:$E,2)))</f>
        <v/>
      </c>
      <c r="Y16" s="12" t="str">
        <f>IF(COUNTA([1]表框架!Y16)=0,"",_xlfn.TEXTJOIN(CHAR(10),FALSE,[1]表框架!Y16,VLOOKUP([1]表框架!Y16,'[1]PIN list'!$B:$E,2)))</f>
        <v>333
SDA5</v>
      </c>
      <c r="Z16" s="13" t="str">
        <f>IF(COUNTA([1]表框架!Z16)=0,"",_xlfn.TEXTJOIN(CHAR(10),FALSE,[1]表框架!Z16,VLOOKUP([1]表框架!Z16,'[1]PIN list'!$B:$E,2)))</f>
        <v>332
NC</v>
      </c>
      <c r="AA16" s="12" t="str">
        <f>IF(COUNTA([1]表框架!AA16)=0,"",_xlfn.TEXTJOIN(CHAR(10),FALSE,[1]表框架!AA16,VLOOKUP([1]表框架!AA16,'[1]PIN list'!$B:$E,2)))</f>
        <v>331
RTC32K_1V8_F</v>
      </c>
      <c r="AB16" s="13" t="str">
        <f>IF(COUNTA([1]表框架!AB16)=0,"",_xlfn.TEXTJOIN(CHAR(10),FALSE,[1]表框架!AB16,VLOOKUP([1]表框架!AB16,'[1]PIN list'!$B:$E,2)))</f>
        <v>330
AUD_CLK_MOSI</v>
      </c>
      <c r="AC16" s="12" t="str">
        <f>IF(COUNTA([1]表框架!AC16)=0,"",_xlfn.TEXTJOIN(CHAR(10),FALSE,[1]表框架!AC16,VLOOKUP([1]表框架!AC16,'[1]PIN list'!$B:$E,2)))</f>
        <v>329
AUD_DAT_MOSI0</v>
      </c>
      <c r="AD16" s="36" t="str">
        <f>IF(COUNTA([1]表框架!AD16)=0,"",_xlfn.TEXTJOIN(CHAR(10),FALSE,[1]表框架!AD16,VLOOKUP([1]表框架!AD16,'[1]PIN list'!$B:$E,2)))</f>
        <v>328
AUD_DAT_MOSI1</v>
      </c>
    </row>
    <row r="17" s="1" customFormat="1" ht="56.65" customHeight="1" spans="1:30">
      <c r="A17" s="1">
        <v>16</v>
      </c>
      <c r="B17" s="9" t="str">
        <f>IF(COUNTA([1]表框架!B17)=0,"",_xlfn.TEXTJOIN(CHAR(10),FALSE,[1]表框架!B17,VLOOKUP([1]表框架!B17,'[1]PIN list'!$B:$E,2)))</f>
        <v>75
CSI0A_RDP0</v>
      </c>
      <c r="C17" s="10" t="str">
        <f>IF(COUNTA([1]表框架!C17)=0,"",_xlfn.TEXTJOIN(CHAR(10),FALSE,[1]表框架!C17,VLOOKUP([1]表框架!C17,'[1]PIN list'!$B:$E,2)))</f>
        <v>74
CSI0A_RDN0</v>
      </c>
      <c r="D17" s="12" t="str">
        <f>IF(COUNTA([1]表框架!D17)=0,"",_xlfn.TEXTJOIN(CHAR(10),FALSE,[1]表框架!D17,VLOOKUP([1]表框架!D17,'[1]PIN list'!$B:$E,2)))</f>
        <v>73
GPIO98</v>
      </c>
      <c r="E17" s="13" t="str">
        <f>IF(COUNTA([1]表框架!E17)=0,"",_xlfn.TEXTJOIN(CHAR(10),FALSE,[1]表框架!E17,VLOOKUP([1]表框架!E17,'[1]PIN list'!$B:$E,2)))</f>
        <v>72
BPI_D_BUS2</v>
      </c>
      <c r="F17" s="12" t="str">
        <f>IF(COUNTA([1]表框架!F17)=0,"",_xlfn.TEXTJOIN(CHAR(10),FALSE,[1]表框架!F17,VLOOKUP([1]表框架!F17,'[1]PIN list'!$B:$E,2)))</f>
        <v>71
GPIO101</v>
      </c>
      <c r="G17" s="13" t="str">
        <f>IF(COUNTA([1]表框架!G17)=0,"",_xlfn.TEXTJOIN(CHAR(10),FALSE,[1]表框架!G17,VLOOKUP([1]表框架!G17,'[1]PIN list'!$B:$E,2)))</f>
        <v>70
GPIO93_PWM_2</v>
      </c>
      <c r="H17" s="6" t="str">
        <f>IF(COUNTA([1]表框架!H17)=0,"",_xlfn.TEXTJOIN(CHAR(10),FALSE,[1]表框架!H17,VLOOKUP([1]表框架!H17,'[1]PIN list'!$B:$E,2)))</f>
        <v/>
      </c>
      <c r="I17" s="7" t="str">
        <f>IF(COUNTA([1]表框架!I17)=0,"",_xlfn.TEXTJOIN(CHAR(10),FALSE,[1]表框架!I17,VLOOKUP([1]表框架!I17,'[1]PIN list'!$B:$E,2)))</f>
        <v>G45
D_GND</v>
      </c>
      <c r="J17" s="6" t="str">
        <f>IF(COUNTA([1]表框架!J17)=0,"",_xlfn.TEXTJOIN(CHAR(10),FALSE,[1]表框架!J17,VLOOKUP([1]表框架!J17,'[1]PIN list'!$B:$E,2)))</f>
        <v/>
      </c>
      <c r="K17" s="6" t="str">
        <f>IF(COUNTA([1]表框架!K17)=0,"",_xlfn.TEXTJOIN(CHAR(10),FALSE,[1]表框架!K17,VLOOKUP([1]表框架!K17,'[1]PIN list'!$B:$E,2)))</f>
        <v/>
      </c>
      <c r="L17" s="6" t="str">
        <f>IF(COUNTA([1]表框架!L17)=0,"",_xlfn.TEXTJOIN(CHAR(10),FALSE,[1]表框架!L17,VLOOKUP([1]表框架!L17,'[1]PIN list'!$B:$E,2)))</f>
        <v/>
      </c>
      <c r="M17" s="6" t="str">
        <f>IF(COUNTA([1]表框架!M17)=0,"",_xlfn.TEXTJOIN(CHAR(10),FALSE,[1]表框架!M17,VLOOKUP([1]表框架!M17,'[1]PIN list'!$B:$E,2)))</f>
        <v/>
      </c>
      <c r="N17" s="6" t="str">
        <f>IF(COUNTA([1]表框架!N17)=0,"",_xlfn.TEXTJOIN(CHAR(10),FALSE,[1]表框架!N17,VLOOKUP([1]表框架!N17,'[1]PIN list'!$B:$E,2)))</f>
        <v/>
      </c>
      <c r="O17" s="6" t="str">
        <f>IF(COUNTA([1]表框架!O17)=0,"",_xlfn.TEXTJOIN(CHAR(10),FALSE,[1]表框架!O17,VLOOKUP([1]表框架!O17,'[1]PIN list'!$B:$E,2)))</f>
        <v/>
      </c>
      <c r="P17" s="6" t="str">
        <f>IF(COUNTA([1]表框架!P17)=0,"",_xlfn.TEXTJOIN(CHAR(10),FALSE,[1]表框架!P17,VLOOKUP([1]表框架!P17,'[1]PIN list'!$B:$E,2)))</f>
        <v/>
      </c>
      <c r="Q17" s="6" t="str">
        <f>IF(COUNTA([1]表框架!Q17)=0,"",_xlfn.TEXTJOIN(CHAR(10),FALSE,[1]表框架!Q17,VLOOKUP([1]表框架!Q17,'[1]PIN list'!$B:$E,2)))</f>
        <v/>
      </c>
      <c r="R17" s="6" t="str">
        <f>IF(COUNTA([1]表框架!R17)=0,"",_xlfn.TEXTJOIN(CHAR(10),FALSE,[1]表框架!R17,VLOOKUP([1]表框架!R17,'[1]PIN list'!$B:$E,2)))</f>
        <v/>
      </c>
      <c r="S17" s="6" t="str">
        <f>IF(COUNTA([1]表框架!S17)=0,"",_xlfn.TEXTJOIN(CHAR(10),FALSE,[1]表框架!S17,VLOOKUP([1]表框架!S17,'[1]PIN list'!$B:$E,2)))</f>
        <v/>
      </c>
      <c r="T17" s="6" t="str">
        <f>IF(COUNTA([1]表框架!T17)=0,"",_xlfn.TEXTJOIN(CHAR(10),FALSE,[1]表框架!T17,VLOOKUP([1]表框架!T17,'[1]PIN list'!$B:$E,2)))</f>
        <v/>
      </c>
      <c r="U17" s="6" t="str">
        <f>IF(COUNTA([1]表框架!U17)=0,"",_xlfn.TEXTJOIN(CHAR(10),FALSE,[1]表框架!U17,VLOOKUP([1]表框架!U17,'[1]PIN list'!$B:$E,2)))</f>
        <v/>
      </c>
      <c r="V17" s="6" t="str">
        <f>IF(COUNTA([1]表框架!V17)=0,"",_xlfn.TEXTJOIN(CHAR(10),FALSE,[1]表框架!V17,VLOOKUP([1]表框架!V17,'[1]PIN list'!$B:$E,2)))</f>
        <v/>
      </c>
      <c r="W17" s="7" t="str">
        <f>IF(COUNTA([1]表框架!W17)=0,"",_xlfn.TEXTJOIN(CHAR(10),FALSE,[1]表框架!W17,VLOOKUP([1]表框架!W17,'[1]PIN list'!$B:$E,2)))</f>
        <v>G21
D_GND</v>
      </c>
      <c r="X17" s="6" t="str">
        <f>IF(COUNTA([1]表框架!X17)=0,"",_xlfn.TEXTJOIN(CHAR(10),FALSE,[1]表框架!X17,VLOOKUP([1]表框架!X17,'[1]PIN list'!$B:$E,2)))</f>
        <v/>
      </c>
      <c r="Y17" s="13" t="str">
        <f>IF(COUNTA([1]表框架!Y17)=0,"",_xlfn.TEXTJOIN(CHAR(10),FALSE,[1]表框架!Y17,VLOOKUP([1]表框架!Y17,'[1]PIN list'!$B:$E,2)))</f>
        <v>322
SCL5</v>
      </c>
      <c r="Z17" s="12" t="str">
        <f>IF(COUNTA([1]表框架!Z17)=0,"",_xlfn.TEXTJOIN(CHAR(10),FALSE,[1]表框架!Z17,VLOOKUP([1]表框架!Z17,'[1]PIN list'!$B:$E,2)))</f>
        <v>323
GPIO135</v>
      </c>
      <c r="AA17" s="13" t="str">
        <f>IF(COUNTA([1]表框架!AA17)=0,"",_xlfn.TEXTJOIN(CHAR(10),FALSE,[1]表框架!AA17,VLOOKUP([1]表框架!AA17,'[1]PIN list'!$B:$E,2)))</f>
        <v>324
AUD_I2C_SCL</v>
      </c>
      <c r="AB17" s="12" t="str">
        <f>IF(COUNTA([1]表框架!AB17)=0,"",_xlfn.TEXTJOIN(CHAR(10),FALSE,[1]表框架!AB17,VLOOKUP([1]表框架!AB17,'[1]PIN list'!$B:$E,2)))</f>
        <v>325
AUD_I2C_SDA</v>
      </c>
      <c r="AC17" s="13" t="str">
        <f>IF(COUNTA([1]表框架!AC17)=0,"",_xlfn.TEXTJOIN(CHAR(10),FALSE,[1]表框架!AC17,VLOOKUP([1]表框架!AC17,'[1]PIN list'!$B:$E,2)))</f>
        <v>326
NC</v>
      </c>
      <c r="AD17" s="39" t="str">
        <f>IF(COUNTA([1]表框架!AD17)=0,"",_xlfn.TEXTJOIN(CHAR(10),FALSE,[1]表框架!AD17,VLOOKUP([1]表框架!AD17,'[1]PIN list'!$B:$E,2)))</f>
        <v>327
AUD_DAT_MISO0</v>
      </c>
    </row>
    <row r="18" s="1" customFormat="1" ht="56.65" customHeight="1" spans="1:30">
      <c r="A18" s="1">
        <v>17</v>
      </c>
      <c r="B18" s="9" t="str">
        <f>IF(COUNTA([1]表框架!B18)=0,"",_xlfn.TEXTJOIN(CHAR(10),FALSE,[1]表框架!B18,VLOOKUP([1]表框架!B18,'[1]PIN list'!$B:$E,2)))</f>
        <v>76
CSI0A_RDP2</v>
      </c>
      <c r="C18" s="10" t="str">
        <f>IF(COUNTA([1]表框架!C18)=0,"",_xlfn.TEXTJOIN(CHAR(10),FALSE,[1]表框架!C18,VLOOKUP([1]表框架!C18,'[1]PIN list'!$B:$E,2)))</f>
        <v>77
CSI0A_RDN2</v>
      </c>
      <c r="D18" s="13" t="str">
        <f>IF(COUNTA([1]表框架!D18)=0,"",_xlfn.TEXTJOIN(CHAR(10),FALSE,[1]表框架!D18,VLOOKUP([1]表框架!D18,'[1]PIN list'!$B:$E,2)))</f>
        <v>78
URXD0</v>
      </c>
      <c r="E18" s="12" t="str">
        <f>IF(COUNTA([1]表框架!E18)=0,"",_xlfn.TEXTJOIN(CHAR(10),FALSE,[1]表框架!E18,VLOOKUP([1]表框架!E18,'[1]PIN list'!$B:$E,2)))</f>
        <v>79
UTXD0</v>
      </c>
      <c r="F18" s="13" t="str">
        <f>IF(COUNTA([1]表框架!F18)=0,"",_xlfn.TEXTJOIN(CHAR(10),FALSE,[1]表框架!F18,VLOOKUP([1]表框架!F18,'[1]PIN list'!$B:$E,2)))</f>
        <v>80
GPIO96</v>
      </c>
      <c r="G18" s="12" t="str">
        <f>IF(COUNTA([1]表框架!G18)=0,"",_xlfn.TEXTJOIN(CHAR(10),FALSE,[1]表框架!G18,VLOOKUP([1]表框架!G18,'[1]PIN list'!$B:$E,2)))</f>
        <v>81
BPI_D_BUS5</v>
      </c>
      <c r="H18" s="6" t="str">
        <f>IF(COUNTA([1]表框架!H18)=0,"",_xlfn.TEXTJOIN(CHAR(10),FALSE,[1]表框架!H18,VLOOKUP([1]表框架!H18,'[1]PIN list'!$B:$E,2)))</f>
        <v/>
      </c>
      <c r="I18" s="7" t="str">
        <f>IF(COUNTA([1]表框架!I18)=0,"",_xlfn.TEXTJOIN(CHAR(10),FALSE,[1]表框架!I18,VLOOKUP([1]表框架!I18,'[1]PIN list'!$B:$E,2)))</f>
        <v>G44
D_GND</v>
      </c>
      <c r="J18" s="6" t="str">
        <f>IF(COUNTA([1]表框架!J18)=0,"",_xlfn.TEXTJOIN(CHAR(10),FALSE,[1]表框架!J18,VLOOKUP([1]表框架!J18,'[1]PIN list'!$B:$E,2)))</f>
        <v/>
      </c>
      <c r="K18" s="6" t="str">
        <f>IF(COUNTA([1]表框架!K18)=0,"",_xlfn.TEXTJOIN(CHAR(10),FALSE,[1]表框架!K18,VLOOKUP([1]表框架!K18,'[1]PIN list'!$B:$E,2)))</f>
        <v/>
      </c>
      <c r="L18" s="6" t="str">
        <f>IF(COUNTA([1]表框架!L18)=0,"",_xlfn.TEXTJOIN(CHAR(10),FALSE,[1]表框架!L18,VLOOKUP([1]表框架!L18,'[1]PIN list'!$B:$E,2)))</f>
        <v/>
      </c>
      <c r="M18" s="6" t="str">
        <f>IF(COUNTA([1]表框架!M18)=0,"",_xlfn.TEXTJOIN(CHAR(10),FALSE,[1]表框架!M18,VLOOKUP([1]表框架!M18,'[1]PIN list'!$B:$E,2)))</f>
        <v/>
      </c>
      <c r="N18" s="6" t="str">
        <f>IF(COUNTA([1]表框架!N18)=0,"",_xlfn.TEXTJOIN(CHAR(10),FALSE,[1]表框架!N18,VLOOKUP([1]表框架!N18,'[1]PIN list'!$B:$E,2)))</f>
        <v/>
      </c>
      <c r="O18" s="6" t="str">
        <f>IF(COUNTA([1]表框架!O18)=0,"",_xlfn.TEXTJOIN(CHAR(10),FALSE,[1]表框架!O18,VLOOKUP([1]表框架!O18,'[1]PIN list'!$B:$E,2)))</f>
        <v/>
      </c>
      <c r="P18" s="6" t="str">
        <f>IF(COUNTA([1]表框架!P18)=0,"",_xlfn.TEXTJOIN(CHAR(10),FALSE,[1]表框架!P18,VLOOKUP([1]表框架!P18,'[1]PIN list'!$B:$E,2)))</f>
        <v/>
      </c>
      <c r="Q18" s="6" t="str">
        <f>IF(COUNTA([1]表框架!Q18)=0,"",_xlfn.TEXTJOIN(CHAR(10),FALSE,[1]表框架!Q18,VLOOKUP([1]表框架!Q18,'[1]PIN list'!$B:$E,2)))</f>
        <v/>
      </c>
      <c r="R18" s="6" t="str">
        <f>IF(COUNTA([1]表框架!R18)=0,"",_xlfn.TEXTJOIN(CHAR(10),FALSE,[1]表框架!R18,VLOOKUP([1]表框架!R18,'[1]PIN list'!$B:$E,2)))</f>
        <v/>
      </c>
      <c r="S18" s="6" t="str">
        <f>IF(COUNTA([1]表框架!S18)=0,"",_xlfn.TEXTJOIN(CHAR(10),FALSE,[1]表框架!S18,VLOOKUP([1]表框架!S18,'[1]PIN list'!$B:$E,2)))</f>
        <v/>
      </c>
      <c r="T18" s="6" t="str">
        <f>IF(COUNTA([1]表框架!T18)=0,"",_xlfn.TEXTJOIN(CHAR(10),FALSE,[1]表框架!T18,VLOOKUP([1]表框架!T18,'[1]PIN list'!$B:$E,2)))</f>
        <v/>
      </c>
      <c r="U18" s="6" t="str">
        <f>IF(COUNTA([1]表框架!U18)=0,"",_xlfn.TEXTJOIN(CHAR(10),FALSE,[1]表框架!U18,VLOOKUP([1]表框架!U18,'[1]PIN list'!$B:$E,2)))</f>
        <v/>
      </c>
      <c r="V18" s="6" t="str">
        <f>IF(COUNTA([1]表框架!V18)=0,"",_xlfn.TEXTJOIN(CHAR(10),FALSE,[1]表框架!V18,VLOOKUP([1]表框架!V18,'[1]PIN list'!$B:$E,2)))</f>
        <v/>
      </c>
      <c r="W18" s="7" t="str">
        <f>IF(COUNTA([1]表框架!W18)=0,"",_xlfn.TEXTJOIN(CHAR(10),FALSE,[1]表框架!W18,VLOOKUP([1]表框架!W18,'[1]PIN list'!$B:$E,2)))</f>
        <v>G22
D_GND</v>
      </c>
      <c r="X18" s="6" t="str">
        <f>IF(COUNTA([1]表框架!X18)=0,"",_xlfn.TEXTJOIN(CHAR(10),FALSE,[1]表框架!X18,VLOOKUP([1]表框架!X18,'[1]PIN list'!$B:$E,2)))</f>
        <v/>
      </c>
      <c r="Y18" s="12" t="str">
        <f>IF(COUNTA([1]表框架!Y18)=0,"",_xlfn.TEXTJOIN(CHAR(10),FALSE,[1]表框架!Y18,VLOOKUP([1]表框架!Y18,'[1]PIN list'!$B:$E,2)))</f>
        <v>321
GPIO228</v>
      </c>
      <c r="Z18" s="13" t="str">
        <f>IF(COUNTA([1]表框架!Z18)=0,"",_xlfn.TEXTJOIN(CHAR(10),FALSE,[1]表框架!Z18,VLOOKUP([1]表框架!Z18,'[1]PIN list'!$B:$E,2)))</f>
        <v>320
GPIO230</v>
      </c>
      <c r="AA18" s="12" t="str">
        <f>IF(COUNTA([1]表框架!AA18)=0,"",_xlfn.TEXTJOIN(CHAR(10),FALSE,[1]表框架!AA18,VLOOKUP([1]表框架!AA18,'[1]PIN list'!$B:$E,2)))</f>
        <v>319
SCP_GPIO_6338_EN</v>
      </c>
      <c r="AB18" s="13" t="str">
        <f>IF(COUNTA([1]表框架!AB18)=0,"",_xlfn.TEXTJOIN(CHAR(10),FALSE,[1]表框架!AB18,VLOOKUP([1]表框架!AB18,'[1]PIN list'!$B:$E,2)))</f>
        <v>318
VS1_PMIC</v>
      </c>
      <c r="AC18" s="12" t="str">
        <f>IF(COUNTA([1]表框架!AC18)=0,"",_xlfn.TEXTJOIN(CHAR(10),FALSE,[1]表框架!AC18,VLOOKUP([1]表框架!AC18,'[1]PIN list'!$B:$E,2)))</f>
        <v>317
NC</v>
      </c>
      <c r="AD18" s="36" t="str">
        <f>IF(COUNTA([1]表框架!AD18)=0,"",_xlfn.TEXTJOIN(CHAR(10),FALSE,[1]表框架!AD18,VLOOKUP([1]表框架!AD18,'[1]PIN list'!$B:$E,2)))</f>
        <v>316
NC</v>
      </c>
    </row>
    <row r="19" s="1" customFormat="1" ht="56.65" customHeight="1" spans="1:30">
      <c r="A19" s="1">
        <v>18</v>
      </c>
      <c r="B19" s="9" t="str">
        <f>IF(COUNTA([1]表框架!B19)=0,"",_xlfn.TEXTJOIN(CHAR(10),FALSE,[1]表框架!B19,VLOOKUP([1]表框架!B19,'[1]PIN list'!$B:$E,2)))</f>
        <v>87
CSI0B_RDP1</v>
      </c>
      <c r="C19" s="10" t="str">
        <f>IF(COUNTA([1]表框架!C19)=0,"",_xlfn.TEXTJOIN(CHAR(10),FALSE,[1]表框架!C19,VLOOKUP([1]表框架!C19,'[1]PIN list'!$B:$E,2)))</f>
        <v>86
CSI0B_RDN1</v>
      </c>
      <c r="D19" s="12" t="str">
        <f>IF(COUNTA([1]表框架!D19)=0,"",_xlfn.TEXTJOIN(CHAR(10),FALSE,[1]表框架!D19,VLOOKUP([1]表框架!D19,'[1]PIN list'!$B:$E,2)))</f>
        <v>85
GPIO212_JTDI</v>
      </c>
      <c r="E19" s="13" t="str">
        <f>IF(COUNTA([1]表框架!E19)=0,"",_xlfn.TEXTJOIN(CHAR(10),FALSE,[1]表框架!E19,VLOOKUP([1]表框架!E19,'[1]PIN list'!$B:$E,2)))</f>
        <v>84
GPIO209_JTRST</v>
      </c>
      <c r="F19" s="12" t="str">
        <f>IF(COUNTA([1]表框架!F19)=0,"",_xlfn.TEXTJOIN(CHAR(10),FALSE,[1]表框架!F19,VLOOKUP([1]表框架!F19,'[1]PIN list'!$B:$E,2)))</f>
        <v>83
GPIO94_PWM_3</v>
      </c>
      <c r="G19" s="13" t="str">
        <f>IF(COUNTA([1]表框架!G19)=0,"",_xlfn.TEXTJOIN(CHAR(10),FALSE,[1]表框架!G19,VLOOKUP([1]表框架!G19,'[1]PIN list'!$B:$E,2)))</f>
        <v>82
GPIO111</v>
      </c>
      <c r="H19" s="6" t="str">
        <f>IF(COUNTA([1]表框架!H19)=0,"",_xlfn.TEXTJOIN(CHAR(10),FALSE,[1]表框架!H19,VLOOKUP([1]表框架!H19,'[1]PIN list'!$B:$E,2)))</f>
        <v/>
      </c>
      <c r="I19" s="7" t="str">
        <f>IF(COUNTA([1]表框架!I19)=0,"",_xlfn.TEXTJOIN(CHAR(10),FALSE,[1]表框架!I19,VLOOKUP([1]表框架!I19,'[1]PIN list'!$B:$E,2)))</f>
        <v>G43
D_GND</v>
      </c>
      <c r="J19" s="6" t="str">
        <f>IF(COUNTA([1]表框架!J19)=0,"",_xlfn.TEXTJOIN(CHAR(10),FALSE,[1]表框架!J19,VLOOKUP([1]表框架!J19,'[1]PIN list'!$B:$E,2)))</f>
        <v/>
      </c>
      <c r="K19" s="6" t="str">
        <f>IF(COUNTA([1]表框架!K19)=0,"",_xlfn.TEXTJOIN(CHAR(10),FALSE,[1]表框架!K19,VLOOKUP([1]表框架!K19,'[1]PIN list'!$B:$E,2)))</f>
        <v/>
      </c>
      <c r="L19" s="6" t="str">
        <f>IF(COUNTA([1]表框架!L19)=0,"",_xlfn.TEXTJOIN(CHAR(10),FALSE,[1]表框架!L19,VLOOKUP([1]表框架!L19,'[1]PIN list'!$B:$E,2)))</f>
        <v/>
      </c>
      <c r="M19" s="6" t="str">
        <f>IF(COUNTA([1]表框架!M19)=0,"",_xlfn.TEXTJOIN(CHAR(10),FALSE,[1]表框架!M19,VLOOKUP([1]表框架!M19,'[1]PIN list'!$B:$E,2)))</f>
        <v/>
      </c>
      <c r="N19" s="6" t="str">
        <f>IF(COUNTA([1]表框架!N19)=0,"",_xlfn.TEXTJOIN(CHAR(10),FALSE,[1]表框架!N19,VLOOKUP([1]表框架!N19,'[1]PIN list'!$B:$E,2)))</f>
        <v/>
      </c>
      <c r="O19" s="6" t="str">
        <f>IF(COUNTA([1]表框架!O19)=0,"",_xlfn.TEXTJOIN(CHAR(10),FALSE,[1]表框架!O19,VLOOKUP([1]表框架!O19,'[1]PIN list'!$B:$E,2)))</f>
        <v/>
      </c>
      <c r="P19" s="6" t="str">
        <f>IF(COUNTA([1]表框架!P19)=0,"",_xlfn.TEXTJOIN(CHAR(10),FALSE,[1]表框架!P19,VLOOKUP([1]表框架!P19,'[1]PIN list'!$B:$E,2)))</f>
        <v/>
      </c>
      <c r="Q19" s="6" t="str">
        <f>IF(COUNTA([1]表框架!Q19)=0,"",_xlfn.TEXTJOIN(CHAR(10),FALSE,[1]表框架!Q19,VLOOKUP([1]表框架!Q19,'[1]PIN list'!$B:$E,2)))</f>
        <v/>
      </c>
      <c r="R19" s="6" t="str">
        <f>IF(COUNTA([1]表框架!R19)=0,"",_xlfn.TEXTJOIN(CHAR(10),FALSE,[1]表框架!R19,VLOOKUP([1]表框架!R19,'[1]PIN list'!$B:$E,2)))</f>
        <v/>
      </c>
      <c r="S19" s="6" t="str">
        <f>IF(COUNTA([1]表框架!S19)=0,"",_xlfn.TEXTJOIN(CHAR(10),FALSE,[1]表框架!S19,VLOOKUP([1]表框架!S19,'[1]PIN list'!$B:$E,2)))</f>
        <v/>
      </c>
      <c r="T19" s="6" t="str">
        <f>IF(COUNTA([1]表框架!T19)=0,"",_xlfn.TEXTJOIN(CHAR(10),FALSE,[1]表框架!T19,VLOOKUP([1]表框架!T19,'[1]PIN list'!$B:$E,2)))</f>
        <v/>
      </c>
      <c r="U19" s="6" t="str">
        <f>IF(COUNTA([1]表框架!U19)=0,"",_xlfn.TEXTJOIN(CHAR(10),FALSE,[1]表框架!U19,VLOOKUP([1]表框架!U19,'[1]PIN list'!$B:$E,2)))</f>
        <v/>
      </c>
      <c r="V19" s="6" t="str">
        <f>IF(COUNTA([1]表框架!V19)=0,"",_xlfn.TEXTJOIN(CHAR(10),FALSE,[1]表框架!V19,VLOOKUP([1]表框架!V19,'[1]PIN list'!$B:$E,2)))</f>
        <v/>
      </c>
      <c r="W19" s="7" t="str">
        <f>IF(COUNTA([1]表框架!W19)=0,"",_xlfn.TEXTJOIN(CHAR(10),FALSE,[1]表框架!W19,VLOOKUP([1]表框架!W19,'[1]PIN list'!$B:$E,2)))</f>
        <v>G23
D_GND</v>
      </c>
      <c r="X19" s="6" t="str">
        <f>IF(COUNTA([1]表框架!X19)=0,"",_xlfn.TEXTJOIN(CHAR(10),FALSE,[1]表框架!X19,VLOOKUP([1]表框架!X19,'[1]PIN list'!$B:$E,2)))</f>
        <v/>
      </c>
      <c r="Y19" s="13" t="str">
        <f>IF(COUNTA([1]表框架!Y19)=0,"",_xlfn.TEXTJOIN(CHAR(10),FALSE,[1]表框架!Y19,VLOOKUP([1]表框架!Y19,'[1]PIN list'!$B:$E,2)))</f>
        <v>310
GPIO227</v>
      </c>
      <c r="Z19" s="12" t="str">
        <f>IF(COUNTA([1]表框架!Z19)=0,"",_xlfn.TEXTJOIN(CHAR(10),FALSE,[1]表框架!Z19,VLOOKUP([1]表框架!Z19,'[1]PIN list'!$B:$E,2)))</f>
        <v>311
GPIO231</v>
      </c>
      <c r="AA19" s="13" t="str">
        <f>IF(COUNTA([1]表框架!AA19)=0,"",_xlfn.TEXTJOIN(CHAR(10),FALSE,[1]表框架!AA19,VLOOKUP([1]表框架!AA19,'[1]PIN list'!$B:$E,2)))</f>
        <v>312
SYSRSTB</v>
      </c>
      <c r="AB19" s="12" t="str">
        <f>IF(COUNTA([1]表框架!AB19)=0,"",_xlfn.TEXTJOIN(CHAR(10),FALSE,[1]表框架!AB19,VLOOKUP([1]表框架!AB19,'[1]PIN list'!$B:$E,2)))</f>
        <v>313
GPIO223</v>
      </c>
      <c r="AC19" s="13" t="str">
        <f>IF(COUNTA([1]表框架!AC19)=0,"",_xlfn.TEXTJOIN(CHAR(10),FALSE,[1]表框架!AC19,VLOOKUP([1]表框架!AC19,'[1]PIN list'!$B:$E,2)))</f>
        <v>314
NC</v>
      </c>
      <c r="AD19" s="40" t="str">
        <f>IF(COUNTA([1]表框架!AD19)=0,"",_xlfn.TEXTJOIN(CHAR(10),FALSE,[1]表框架!AD19,VLOOKUP([1]表框架!AD19,'[1]PIN list'!$B:$E,2)))</f>
        <v>315
D_GND</v>
      </c>
    </row>
    <row r="20" s="1" customFormat="1" ht="56.65" customHeight="1" spans="1:30">
      <c r="A20" s="1">
        <v>19</v>
      </c>
      <c r="B20" s="9" t="str">
        <f>IF(COUNTA([1]表框架!B20)=0,"",_xlfn.TEXTJOIN(CHAR(10),FALSE,[1]表框架!B20,VLOOKUP([1]表框架!B20,'[1]PIN list'!$B:$E,2)))</f>
        <v>88
CSI0B_RDP3</v>
      </c>
      <c r="C20" s="10" t="str">
        <f>IF(COUNTA([1]表框架!C20)=0,"",_xlfn.TEXTJOIN(CHAR(10),FALSE,[1]表框架!C20,VLOOKUP([1]表框架!C20,'[1]PIN list'!$B:$E,2)))</f>
        <v>89
CSI0B_RDN3</v>
      </c>
      <c r="D20" s="13" t="str">
        <f>IF(COUNTA([1]表框架!D20)=0,"",_xlfn.TEXTJOIN(CHAR(10),FALSE,[1]表框架!D20,VLOOKUP([1]表框架!D20,'[1]PIN list'!$B:$E,2)))</f>
        <v>90
GPIO211_JTMS</v>
      </c>
      <c r="E20" s="12" t="str">
        <f>IF(COUNTA([1]表框架!E20)=0,"",_xlfn.TEXTJOIN(CHAR(10),FALSE,[1]表框架!E20,VLOOKUP([1]表框架!E20,'[1]PIN list'!$B:$E,2)))</f>
        <v>91
GPIO210_JTCK</v>
      </c>
      <c r="F20" s="15" t="str">
        <f>IF(COUNTA([1]表框架!F20)=0,"",_xlfn.TEXTJOIN(CHAR(10),FALSE,[1]表框架!F20,VLOOKUP([1]表框架!F20,'[1]PIN list'!$B:$E,2)))</f>
        <v>92
D_GND</v>
      </c>
      <c r="G20" s="12" t="str">
        <f>IF(COUNTA([1]表框架!G20)=0,"",_xlfn.TEXTJOIN(CHAR(10),FALSE,[1]表框架!G20,VLOOKUP([1]表框架!G20,'[1]PIN list'!$B:$E,2)))</f>
        <v>93
GPIO112</v>
      </c>
      <c r="H20" s="6" t="str">
        <f>IF(COUNTA([1]表框架!H20)=0,"",_xlfn.TEXTJOIN(CHAR(10),FALSE,[1]表框架!H20,VLOOKUP([1]表框架!H20,'[1]PIN list'!$B:$E,2)))</f>
        <v/>
      </c>
      <c r="I20" s="7" t="str">
        <f>IF(COUNTA([1]表框架!I20)=0,"",_xlfn.TEXTJOIN(CHAR(10),FALSE,[1]表框架!I20,VLOOKUP([1]表框架!I20,'[1]PIN list'!$B:$E,2)))</f>
        <v>G42
D_GND</v>
      </c>
      <c r="J20" s="6" t="str">
        <f>IF(COUNTA([1]表框架!J20)=0,"",_xlfn.TEXTJOIN(CHAR(10),FALSE,[1]表框架!J20,VLOOKUP([1]表框架!J20,'[1]PIN list'!$B:$E,2)))</f>
        <v/>
      </c>
      <c r="K20" s="6" t="str">
        <f>IF(COUNTA([1]表框架!K20)=0,"",_xlfn.TEXTJOIN(CHAR(10),FALSE,[1]表框架!K20,VLOOKUP([1]表框架!K20,'[1]PIN list'!$B:$E,2)))</f>
        <v/>
      </c>
      <c r="L20" s="6" t="str">
        <f>IF(COUNTA([1]表框架!L20)=0,"",_xlfn.TEXTJOIN(CHAR(10),FALSE,[1]表框架!L20,VLOOKUP([1]表框架!L20,'[1]PIN list'!$B:$E,2)))</f>
        <v/>
      </c>
      <c r="M20" s="6" t="str">
        <f>IF(COUNTA([1]表框架!M20)=0,"",_xlfn.TEXTJOIN(CHAR(10),FALSE,[1]表框架!M20,VLOOKUP([1]表框架!M20,'[1]PIN list'!$B:$E,2)))</f>
        <v/>
      </c>
      <c r="N20" s="6" t="str">
        <f>IF(COUNTA([1]表框架!N20)=0,"",_xlfn.TEXTJOIN(CHAR(10),FALSE,[1]表框架!N20,VLOOKUP([1]表框架!N20,'[1]PIN list'!$B:$E,2)))</f>
        <v/>
      </c>
      <c r="O20" s="6" t="str">
        <f>IF(COUNTA([1]表框架!O20)=0,"",_xlfn.TEXTJOIN(CHAR(10),FALSE,[1]表框架!O20,VLOOKUP([1]表框架!O20,'[1]PIN list'!$B:$E,2)))</f>
        <v/>
      </c>
      <c r="P20" s="6" t="str">
        <f>IF(COUNTA([1]表框架!P20)=0,"",_xlfn.TEXTJOIN(CHAR(10),FALSE,[1]表框架!P20,VLOOKUP([1]表框架!P20,'[1]PIN list'!$B:$E,2)))</f>
        <v/>
      </c>
      <c r="Q20" s="6" t="str">
        <f>IF(COUNTA([1]表框架!Q20)=0,"",_xlfn.TEXTJOIN(CHAR(10),FALSE,[1]表框架!Q20,VLOOKUP([1]表框架!Q20,'[1]PIN list'!$B:$E,2)))</f>
        <v/>
      </c>
      <c r="R20" s="6" t="str">
        <f>IF(COUNTA([1]表框架!R20)=0,"",_xlfn.TEXTJOIN(CHAR(10),FALSE,[1]表框架!R20,VLOOKUP([1]表框架!R20,'[1]PIN list'!$B:$E,2)))</f>
        <v/>
      </c>
      <c r="S20" s="6" t="str">
        <f>IF(COUNTA([1]表框架!S20)=0,"",_xlfn.TEXTJOIN(CHAR(10),FALSE,[1]表框架!S20,VLOOKUP([1]表框架!S20,'[1]PIN list'!$B:$E,2)))</f>
        <v/>
      </c>
      <c r="T20" s="6" t="str">
        <f>IF(COUNTA([1]表框架!T20)=0,"",_xlfn.TEXTJOIN(CHAR(10),FALSE,[1]表框架!T20,VLOOKUP([1]表框架!T20,'[1]PIN list'!$B:$E,2)))</f>
        <v/>
      </c>
      <c r="U20" s="6" t="str">
        <f>IF(COUNTA([1]表框架!U20)=0,"",_xlfn.TEXTJOIN(CHAR(10),FALSE,[1]表框架!U20,VLOOKUP([1]表框架!U20,'[1]PIN list'!$B:$E,2)))</f>
        <v/>
      </c>
      <c r="V20" s="6" t="str">
        <f>IF(COUNTA([1]表框架!V20)=0,"",_xlfn.TEXTJOIN(CHAR(10),FALSE,[1]表框架!V20,VLOOKUP([1]表框架!V20,'[1]PIN list'!$B:$E,2)))</f>
        <v/>
      </c>
      <c r="W20" s="7" t="str">
        <f>IF(COUNTA([1]表框架!W20)=0,"",_xlfn.TEXTJOIN(CHAR(10),FALSE,[1]表框架!W20,VLOOKUP([1]表框架!W20,'[1]PIN list'!$B:$E,2)))</f>
        <v>G24
D_GND</v>
      </c>
      <c r="X20" s="6" t="str">
        <f>IF(COUNTA([1]表框架!X20)=0,"",_xlfn.TEXTJOIN(CHAR(10),FALSE,[1]表框架!X20,VLOOKUP([1]表框架!X20,'[1]PIN list'!$B:$E,2)))</f>
        <v/>
      </c>
      <c r="Y20" s="12" t="str">
        <f>IF(COUNTA([1]表框架!Y20)=0,"",_xlfn.TEXTJOIN(CHAR(10),FALSE,[1]表框架!Y20,VLOOKUP([1]表框架!Y20,'[1]PIN list'!$B:$E,2)))</f>
        <v>309
GPIO136</v>
      </c>
      <c r="Z20" s="13" t="str">
        <f>IF(COUNTA([1]表框架!Z20)=0,"",_xlfn.TEXTJOIN(CHAR(10),FALSE,[1]表框架!Z20,VLOOKUP([1]表框架!Z20,'[1]PIN list'!$B:$E,2)))</f>
        <v>308
GPIO191</v>
      </c>
      <c r="AA20" s="12" t="str">
        <f>IF(COUNTA([1]表框架!AA20)=0,"",_xlfn.TEXTJOIN(CHAR(10),FALSE,[1]表框架!AA20,VLOOKUP([1]表框架!AA20,'[1]PIN list'!$B:$E,2)))</f>
        <v>307
NC</v>
      </c>
      <c r="AB20" s="13" t="str">
        <f>IF(COUNTA([1]表框架!AB20)=0,"",_xlfn.TEXTJOIN(CHAR(10),FALSE,[1]表框架!AB20,VLOOKUP([1]表框架!AB20,'[1]PIN list'!$B:$E,2)))</f>
        <v>306
NC</v>
      </c>
      <c r="AC20" s="12" t="str">
        <f>IF(COUNTA([1]表框架!AC20)=0,"",_xlfn.TEXTJOIN(CHAR(10),FALSE,[1]表框架!AC20,VLOOKUP([1]表框架!AC20,'[1]PIN list'!$B:$E,2)))</f>
        <v>305
NC</v>
      </c>
      <c r="AD20" s="36" t="str">
        <f>IF(COUNTA([1]表框架!AD20)=0,"",_xlfn.TEXTJOIN(CHAR(10),FALSE,[1]表框架!AD20,VLOOKUP([1]表框架!AD20,'[1]PIN list'!$B:$E,2)))</f>
        <v>304
NC</v>
      </c>
    </row>
    <row r="21" s="1" customFormat="1" ht="56.65" customHeight="1" spans="1:30">
      <c r="A21" s="1">
        <v>20</v>
      </c>
      <c r="B21" s="14" t="str">
        <f>IF(COUNTA([1]表框架!B21)=0,"",_xlfn.TEXTJOIN(CHAR(10),FALSE,[1]表框架!B21,VLOOKUP([1]表框架!B21,'[1]PIN list'!$B:$E,2)))</f>
        <v>99
D_GND</v>
      </c>
      <c r="C21" s="15" t="str">
        <f>IF(COUNTA([1]表框架!C21)=0,"",_xlfn.TEXTJOIN(CHAR(10),FALSE,[1]表框架!C21,VLOOKUP([1]表框架!C21,'[1]PIN list'!$B:$E,2)))</f>
        <v>98
D_GND</v>
      </c>
      <c r="D21" s="12" t="str">
        <f>IF(COUNTA([1]表框架!D21)=0,"",_xlfn.TEXTJOIN(CHAR(10),FALSE,[1]表框架!D21,VLOOKUP([1]表框架!D21,'[1]PIN list'!$B:$E,2)))</f>
        <v>97
GPIO213_JTDO</v>
      </c>
      <c r="E21" s="13" t="str">
        <f>IF(COUNTA([1]表框架!E21)=0,"",_xlfn.TEXTJOIN(CHAR(10),FALSE,[1]表框架!E21,VLOOKUP([1]表框架!E21,'[1]PIN list'!$B:$E,2)))</f>
        <v>96
EINT6_ACC</v>
      </c>
      <c r="F21" s="12" t="str">
        <f>IF(COUNTA([1]表框架!F21)=0,"",_xlfn.TEXTJOIN(CHAR(10),FALSE,[1]表框架!F21,VLOOKUP([1]表框架!F21,'[1]PIN list'!$B:$E,2)))</f>
        <v>95
GPIO107</v>
      </c>
      <c r="G21" s="13" t="str">
        <f>IF(COUNTA([1]表框架!G21)=0,"",_xlfn.TEXTJOIN(CHAR(10),FALSE,[1]表框架!G21,VLOOKUP([1]表框架!G21,'[1]PIN list'!$B:$E,2)))</f>
        <v>94
GPIO113</v>
      </c>
      <c r="H21" s="6" t="str">
        <f>IF(COUNTA([1]表框架!H21)=0,"",_xlfn.TEXTJOIN(CHAR(10),FALSE,[1]表框架!H21,VLOOKUP([1]表框架!H21,'[1]PIN list'!$B:$E,2)))</f>
        <v/>
      </c>
      <c r="I21" s="7" t="str">
        <f>IF(COUNTA([1]表框架!I21)=0,"",_xlfn.TEXTJOIN(CHAR(10),FALSE,[1]表框架!I21,VLOOKUP([1]表框架!I21,'[1]PIN list'!$B:$E,2)))</f>
        <v>G41
D_GND</v>
      </c>
      <c r="J21" s="6" t="str">
        <f>IF(COUNTA([1]表框架!J21)=0,"",_xlfn.TEXTJOIN(CHAR(10),FALSE,[1]表框架!J21,VLOOKUP([1]表框架!J21,'[1]PIN list'!$B:$E,2)))</f>
        <v/>
      </c>
      <c r="K21" s="6" t="str">
        <f>IF(COUNTA([1]表框架!K21)=0,"",_xlfn.TEXTJOIN(CHAR(10),FALSE,[1]表框架!K21,VLOOKUP([1]表框架!K21,'[1]PIN list'!$B:$E,2)))</f>
        <v/>
      </c>
      <c r="L21" s="6" t="str">
        <f>IF(COUNTA([1]表框架!L21)=0,"",_xlfn.TEXTJOIN(CHAR(10),FALSE,[1]表框架!L21,VLOOKUP([1]表框架!L21,'[1]PIN list'!$B:$E,2)))</f>
        <v/>
      </c>
      <c r="M21" s="6" t="str">
        <f>IF(COUNTA([1]表框架!M21)=0,"",_xlfn.TEXTJOIN(CHAR(10),FALSE,[1]表框架!M21,VLOOKUP([1]表框架!M21,'[1]PIN list'!$B:$E,2)))</f>
        <v/>
      </c>
      <c r="N21" s="6" t="str">
        <f>IF(COUNTA([1]表框架!N21)=0,"",_xlfn.TEXTJOIN(CHAR(10),FALSE,[1]表框架!N21,VLOOKUP([1]表框架!N21,'[1]PIN list'!$B:$E,2)))</f>
        <v/>
      </c>
      <c r="O21" s="6" t="str">
        <f>IF(COUNTA([1]表框架!O21)=0,"",_xlfn.TEXTJOIN(CHAR(10),FALSE,[1]表框架!O21,VLOOKUP([1]表框架!O21,'[1]PIN list'!$B:$E,2)))</f>
        <v/>
      </c>
      <c r="P21" s="6" t="str">
        <f>IF(COUNTA([1]表框架!P21)=0,"",_xlfn.TEXTJOIN(CHAR(10),FALSE,[1]表框架!P21,VLOOKUP([1]表框架!P21,'[1]PIN list'!$B:$E,2)))</f>
        <v/>
      </c>
      <c r="Q21" s="6" t="str">
        <f>IF(COUNTA([1]表框架!Q21)=0,"",_xlfn.TEXTJOIN(CHAR(10),FALSE,[1]表框架!Q21,VLOOKUP([1]表框架!Q21,'[1]PIN list'!$B:$E,2)))</f>
        <v/>
      </c>
      <c r="R21" s="6" t="str">
        <f>IF(COUNTA([1]表框架!R21)=0,"",_xlfn.TEXTJOIN(CHAR(10),FALSE,[1]表框架!R21,VLOOKUP([1]表框架!R21,'[1]PIN list'!$B:$E,2)))</f>
        <v/>
      </c>
      <c r="S21" s="6" t="str">
        <f>IF(COUNTA([1]表框架!S21)=0,"",_xlfn.TEXTJOIN(CHAR(10),FALSE,[1]表框架!S21,VLOOKUP([1]表框架!S21,'[1]PIN list'!$B:$E,2)))</f>
        <v/>
      </c>
      <c r="T21" s="6" t="str">
        <f>IF(COUNTA([1]表框架!T21)=0,"",_xlfn.TEXTJOIN(CHAR(10),FALSE,[1]表框架!T21,VLOOKUP([1]表框架!T21,'[1]PIN list'!$B:$E,2)))</f>
        <v/>
      </c>
      <c r="U21" s="6" t="str">
        <f>IF(COUNTA([1]表框架!U21)=0,"",_xlfn.TEXTJOIN(CHAR(10),FALSE,[1]表框架!U21,VLOOKUP([1]表框架!U21,'[1]PIN list'!$B:$E,2)))</f>
        <v/>
      </c>
      <c r="V21" s="6" t="str">
        <f>IF(COUNTA([1]表框架!V21)=0,"",_xlfn.TEXTJOIN(CHAR(10),FALSE,[1]表框架!V21,VLOOKUP([1]表框架!V21,'[1]PIN list'!$B:$E,2)))</f>
        <v/>
      </c>
      <c r="W21" s="7" t="str">
        <f>IF(COUNTA([1]表框架!W21)=0,"",_xlfn.TEXTJOIN(CHAR(10),FALSE,[1]表框架!W21,VLOOKUP([1]表框架!W21,'[1]PIN list'!$B:$E,2)))</f>
        <v>G25
D_GND</v>
      </c>
      <c r="X21" s="6" t="str">
        <f>IF(COUNTA([1]表框架!X21)=0,"",_xlfn.TEXTJOIN(CHAR(10),FALSE,[1]表框架!X21,VLOOKUP([1]表框架!X21,'[1]PIN list'!$B:$E,2)))</f>
        <v/>
      </c>
      <c r="Y21" s="13" t="str">
        <f>IF(COUNTA([1]表框架!Y21)=0,"",_xlfn.TEXTJOIN(CHAR(10),FALSE,[1]表框架!Y21,VLOOKUP([1]表框架!Y21,'[1]PIN list'!$B:$E,2)))</f>
        <v>298
SPI4_MI</v>
      </c>
      <c r="Z21" s="12" t="str">
        <f>IF(COUNTA([1]表框架!Z21)=0,"",_xlfn.TEXTJOIN(CHAR(10),FALSE,[1]表框架!Z21,VLOOKUP([1]表框架!Z21,'[1]PIN list'!$B:$E,2)))</f>
        <v>299
SPI4_CK</v>
      </c>
      <c r="AA21" s="13" t="str">
        <f>IF(COUNTA([1]表框架!AA21)=0,"",_xlfn.TEXTJOIN(CHAR(10),FALSE,[1]表框架!AA21,VLOOKUP([1]表框架!AA21,'[1]PIN list'!$B:$E,2)))</f>
        <v>300
NC</v>
      </c>
      <c r="AB21" s="12" t="str">
        <f>IF(COUNTA([1]表框架!AB21)=0,"",_xlfn.TEXTJOIN(CHAR(10),FALSE,[1]表框架!AB21,VLOOKUP([1]表框架!AB21,'[1]PIN list'!$B:$E,2)))</f>
        <v>301
NC</v>
      </c>
      <c r="AC21" s="13" t="str">
        <f>IF(COUNTA([1]表框架!AC21)=0,"",_xlfn.TEXTJOIN(CHAR(10),FALSE,[1]表框架!AC21,VLOOKUP([1]表框架!AC21,'[1]PIN list'!$B:$E,2)))</f>
        <v>302
NC</v>
      </c>
      <c r="AD21" s="39" t="str">
        <f>IF(COUNTA([1]表框架!AD21)=0,"",_xlfn.TEXTJOIN(CHAR(10),FALSE,[1]表框架!AD21,VLOOKUP([1]表框架!AD21,'[1]PIN list'!$B:$E,2)))</f>
        <v>303
NC</v>
      </c>
    </row>
    <row r="22" s="1" customFormat="1" ht="56.65" customHeight="1" spans="1:30">
      <c r="A22" s="1">
        <v>21</v>
      </c>
      <c r="B22" s="16" t="str">
        <f>IF(COUNTA([1]表框架!B22)=0,"",_xlfn.TEXTJOIN(CHAR(10),FALSE,[1]表框架!B22,VLOOKUP([1]表框架!B22,'[1]PIN list'!$B:$E,2)))</f>
        <v>100
GPIO65</v>
      </c>
      <c r="C22" s="12" t="str">
        <f>IF(COUNTA([1]表框架!C22)=0,"",_xlfn.TEXTJOIN(CHAR(10),FALSE,[1]表框架!C22,VLOOKUP([1]表框架!C22,'[1]PIN list'!$B:$E,2)))</f>
        <v>101
GPIO131_DISP_PWM</v>
      </c>
      <c r="D22" s="7" t="str">
        <f>IF(COUNTA([1]表框架!D22)=0,"",_xlfn.TEXTJOIN(CHAR(10),FALSE,[1]表框架!D22,VLOOKUP([1]表框架!D22,'[1]PIN list'!$B:$E,2)))</f>
        <v>102
D_GND</v>
      </c>
      <c r="E22" s="12" t="str">
        <f>IF(COUNTA([1]表框架!E22)=0,"",_xlfn.TEXTJOIN(CHAR(10),FALSE,[1]表框架!E22,VLOOKUP([1]表框架!E22,'[1]PIN list'!$B:$E,2)))</f>
        <v>103
GPIO5_IDDIG</v>
      </c>
      <c r="F22" s="13" t="str">
        <f>IF(COUNTA([1]表框架!F22)=0,"",_xlfn.TEXTJOIN(CHAR(10),FALSE,[1]表框架!F22,VLOOKUP([1]表框架!F22,'[1]PIN list'!$B:$E,2)))</f>
        <v>104
GPIO108</v>
      </c>
      <c r="G22" s="12" t="str">
        <f>IF(COUNTA([1]表框架!G22)=0,"",_xlfn.TEXTJOIN(CHAR(10),FALSE,[1]表框架!G22,VLOOKUP([1]表框架!G22,'[1]PIN list'!$B:$E,2)))</f>
        <v>105
GPIO114</v>
      </c>
      <c r="H22" s="6" t="str">
        <f>IF(COUNTA([1]表框架!H22)=0,"",_xlfn.TEXTJOIN(CHAR(10),FALSE,[1]表框架!H22,VLOOKUP([1]表框架!H22,'[1]PIN list'!$B:$E,2)))</f>
        <v/>
      </c>
      <c r="I22" s="7" t="str">
        <f>IF(COUNTA([1]表框架!I22)=0,"",_xlfn.TEXTJOIN(CHAR(10),FALSE,[1]表框架!I22,VLOOKUP([1]表框架!I22,'[1]PIN list'!$B:$E,2)))</f>
        <v>G40
D_GND</v>
      </c>
      <c r="J22" s="6" t="str">
        <f>IF(COUNTA([1]表框架!J22)=0,"",_xlfn.TEXTJOIN(CHAR(10),FALSE,[1]表框架!J22,VLOOKUP([1]表框架!J22,'[1]PIN list'!$B:$E,2)))</f>
        <v/>
      </c>
      <c r="K22" s="6" t="str">
        <f>IF(COUNTA([1]表框架!K22)=0,"",_xlfn.TEXTJOIN(CHAR(10),FALSE,[1]表框架!K22,VLOOKUP([1]表框架!K22,'[1]PIN list'!$B:$E,2)))</f>
        <v/>
      </c>
      <c r="L22" s="6" t="str">
        <f>IF(COUNTA([1]表框架!L22)=0,"",_xlfn.TEXTJOIN(CHAR(10),FALSE,[1]表框架!L22,VLOOKUP([1]表框架!L22,'[1]PIN list'!$B:$E,2)))</f>
        <v/>
      </c>
      <c r="M22" s="6" t="str">
        <f>IF(COUNTA([1]表框架!M22)=0,"",_xlfn.TEXTJOIN(CHAR(10),FALSE,[1]表框架!M22,VLOOKUP([1]表框架!M22,'[1]PIN list'!$B:$E,2)))</f>
        <v/>
      </c>
      <c r="N22" s="6" t="str">
        <f>IF(COUNTA([1]表框架!N22)=0,"",_xlfn.TEXTJOIN(CHAR(10),FALSE,[1]表框架!N22,VLOOKUP([1]表框架!N22,'[1]PIN list'!$B:$E,2)))</f>
        <v/>
      </c>
      <c r="O22" s="6" t="str">
        <f>IF(COUNTA([1]表框架!O22)=0,"",_xlfn.TEXTJOIN(CHAR(10),FALSE,[1]表框架!O22,VLOOKUP([1]表框架!O22,'[1]PIN list'!$B:$E,2)))</f>
        <v/>
      </c>
      <c r="P22" s="6" t="str">
        <f>IF(COUNTA([1]表框架!P22)=0,"",_xlfn.TEXTJOIN(CHAR(10),FALSE,[1]表框架!P22,VLOOKUP([1]表框架!P22,'[1]PIN list'!$B:$E,2)))</f>
        <v/>
      </c>
      <c r="Q22" s="6" t="str">
        <f>IF(COUNTA([1]表框架!Q22)=0,"",_xlfn.TEXTJOIN(CHAR(10),FALSE,[1]表框架!Q22,VLOOKUP([1]表框架!Q22,'[1]PIN list'!$B:$E,2)))</f>
        <v/>
      </c>
      <c r="R22" s="6" t="str">
        <f>IF(COUNTA([1]表框架!R22)=0,"",_xlfn.TEXTJOIN(CHAR(10),FALSE,[1]表框架!R22,VLOOKUP([1]表框架!R22,'[1]PIN list'!$B:$E,2)))</f>
        <v/>
      </c>
      <c r="S22" s="6" t="str">
        <f>IF(COUNTA([1]表框架!S22)=0,"",_xlfn.TEXTJOIN(CHAR(10),FALSE,[1]表框架!S22,VLOOKUP([1]表框架!S22,'[1]PIN list'!$B:$E,2)))</f>
        <v/>
      </c>
      <c r="T22" s="6" t="str">
        <f>IF(COUNTA([1]表框架!T22)=0,"",_xlfn.TEXTJOIN(CHAR(10),FALSE,[1]表框架!T22,VLOOKUP([1]表框架!T22,'[1]PIN list'!$B:$E,2)))</f>
        <v/>
      </c>
      <c r="U22" s="6" t="str">
        <f>IF(COUNTA([1]表框架!U22)=0,"",_xlfn.TEXTJOIN(CHAR(10),FALSE,[1]表框架!U22,VLOOKUP([1]表框架!U22,'[1]PIN list'!$B:$E,2)))</f>
        <v/>
      </c>
      <c r="V22" s="6" t="str">
        <f>IF(COUNTA([1]表框架!V22)=0,"",_xlfn.TEXTJOIN(CHAR(10),FALSE,[1]表框架!V22,VLOOKUP([1]表框架!V22,'[1]PIN list'!$B:$E,2)))</f>
        <v/>
      </c>
      <c r="W22" s="7" t="str">
        <f>IF(COUNTA([1]表框架!W22)=0,"",_xlfn.TEXTJOIN(CHAR(10),FALSE,[1]表框架!W22,VLOOKUP([1]表框架!W22,'[1]PIN list'!$B:$E,2)))</f>
        <v>G26
D_GND</v>
      </c>
      <c r="X22" s="6" t="str">
        <f>IF(COUNTA([1]表框架!X22)=0,"",_xlfn.TEXTJOIN(CHAR(10),FALSE,[1]表框架!X22,VLOOKUP([1]表框架!X22,'[1]PIN list'!$B:$E,2)))</f>
        <v/>
      </c>
      <c r="Y22" s="12" t="str">
        <f>IF(COUNTA([1]表框架!Y22)=0,"",_xlfn.TEXTJOIN(CHAR(10),FALSE,[1]表框架!Y22,VLOOKUP([1]表框架!Y22,'[1]PIN list'!$B:$E,2)))</f>
        <v>297
SPI4_MO</v>
      </c>
      <c r="Z22" s="13" t="str">
        <f>IF(COUNTA([1]表框架!Z22)=0,"",_xlfn.TEXTJOIN(CHAR(10),FALSE,[1]表框架!Z22,VLOOKUP([1]表框架!Z22,'[1]PIN list'!$B:$E,2)))</f>
        <v>296
SPI4_CSB</v>
      </c>
      <c r="AA22" s="12" t="str">
        <f>IF(COUNTA([1]表框架!AA22)=0,"",_xlfn.TEXTJOIN(CHAR(10),FALSE,[1]表框架!AA22,VLOOKUP([1]表框架!AA22,'[1]PIN list'!$B:$E,2)))</f>
        <v>295
PERIEN_CHG_ENB_GPIO133</v>
      </c>
      <c r="AB22" s="42" t="str">
        <f>IF(COUNTA([1]表框架!AB22)=0,"",_xlfn.TEXTJOIN(CHAR(10),FALSE,[1]表框架!AB22,VLOOKUP([1]表框架!AB22,'[1]PIN list'!$B:$E,2)))</f>
        <v>294
DSI0_CKP</v>
      </c>
      <c r="AC22" s="42" t="str">
        <f>IF(COUNTA([1]表框架!AC22)=0,"",_xlfn.TEXTJOIN(CHAR(10),FALSE,[1]表框架!AC22,VLOOKUP([1]表框架!AC22,'[1]PIN list'!$B:$E,2)))</f>
        <v>293
DSI0_CKN</v>
      </c>
      <c r="AD22" s="36" t="str">
        <f>IF(COUNTA([1]表框架!AD22)=0,"",_xlfn.TEXTJOIN(CHAR(10),FALSE,[1]表框架!AD22,VLOOKUP([1]表框架!AD22,'[1]PIN list'!$B:$E,2)))</f>
        <v>292
NC</v>
      </c>
    </row>
    <row r="23" s="1" customFormat="1" ht="56.65" customHeight="1" spans="1:30">
      <c r="A23" s="1">
        <v>22</v>
      </c>
      <c r="B23" s="17" t="str">
        <f>IF(COUNTA([1]表框架!B23)=0,"",_xlfn.TEXTJOIN(CHAR(10),FALSE,[1]表框架!B23,VLOOKUP([1]表框架!B23,'[1]PIN list'!$B:$E,2)))</f>
        <v>111
GPIO62</v>
      </c>
      <c r="C23" s="13" t="str">
        <f>IF(COUNTA([1]表框架!C23)=0,"",_xlfn.TEXTJOIN(CHAR(10),FALSE,[1]表框架!C23,VLOOKUP([1]表框架!C23,'[1]PIN list'!$B:$E,2)))</f>
        <v>110
SDA7</v>
      </c>
      <c r="D23" s="7" t="str">
        <f>IF(COUNTA([1]表框架!D23)=0,"",_xlfn.TEXTJOIN(CHAR(10),FALSE,[1]表框架!D23,VLOOKUP([1]表框架!D23,'[1]PIN list'!$B:$E,2)))</f>
        <v>109
D_GND</v>
      </c>
      <c r="E23" s="13" t="str">
        <f>IF(COUNTA([1]表框架!E23)=0,"",_xlfn.TEXTJOIN(CHAR(10),FALSE,[1]表框架!E23,VLOOKUP([1]表框架!E23,'[1]PIN list'!$B:$E,2)))</f>
        <v>108
EINT4_BACK</v>
      </c>
      <c r="F23" s="12" t="str">
        <f>IF(COUNTA([1]表框架!F23)=0,"",_xlfn.TEXTJOIN(CHAR(10),FALSE,[1]表框架!F23,VLOOKUP([1]表框架!F23,'[1]PIN list'!$B:$E,2)))</f>
        <v>107
GPIO109</v>
      </c>
      <c r="G23" s="13" t="str">
        <f>IF(COUNTA([1]表框架!G23)=0,"",_xlfn.TEXTJOIN(CHAR(10),FALSE,[1]表框架!G23,VLOOKUP([1]表框架!G23,'[1]PIN list'!$B:$E,2)))</f>
        <v>106
GPIO105</v>
      </c>
      <c r="H23" s="6" t="str">
        <f>IF(COUNTA([1]表框架!H23)=0,"",_xlfn.TEXTJOIN(CHAR(10),FALSE,[1]表框架!H23,VLOOKUP([1]表框架!H23,'[1]PIN list'!$B:$E,2)))</f>
        <v/>
      </c>
      <c r="I23" s="6" t="str">
        <f>IF(COUNTA([1]表框架!I23)=0,"",_xlfn.TEXTJOIN(CHAR(10),FALSE,[1]表框架!I23,VLOOKUP([1]表框架!I23,'[1]PIN list'!$B:$E,2)))</f>
        <v/>
      </c>
      <c r="J23" s="7" t="str">
        <f>IF(COUNTA([1]表框架!J23)=0,"",_xlfn.TEXTJOIN(CHAR(10),FALSE,[1]表框架!J23,VLOOKUP([1]表框架!J23,'[1]PIN list'!$B:$E,2)))</f>
        <v>G39
D_GND</v>
      </c>
      <c r="K23" s="7" t="str">
        <f>IF(COUNTA([1]表框架!K23)=0,"",_xlfn.TEXTJOIN(CHAR(10),FALSE,[1]表框架!K23,VLOOKUP([1]表框架!K23,'[1]PIN list'!$B:$E,2)))</f>
        <v>G38
D_GND</v>
      </c>
      <c r="L23" s="7" t="str">
        <f>IF(COUNTA([1]表框架!L23)=0,"",_xlfn.TEXTJOIN(CHAR(10),FALSE,[1]表框架!L23,VLOOKUP([1]表框架!L23,'[1]PIN list'!$B:$E,2)))</f>
        <v>G37
D_GND</v>
      </c>
      <c r="M23" s="7" t="str">
        <f>IF(COUNTA([1]表框架!M23)=0,"",_xlfn.TEXTJOIN(CHAR(10),FALSE,[1]表框架!M23,VLOOKUP([1]表框架!M23,'[1]PIN list'!$B:$E,2)))</f>
        <v>G36
D_GND</v>
      </c>
      <c r="N23" s="7" t="str">
        <f>IF(COUNTA([1]表框架!N23)=0,"",_xlfn.TEXTJOIN(CHAR(10),FALSE,[1]表框架!N23,VLOOKUP([1]表框架!N23,'[1]PIN list'!$B:$E,2)))</f>
        <v>G35
D_GND</v>
      </c>
      <c r="O23" s="7" t="str">
        <f>IF(COUNTA([1]表框架!O23)=0,"",_xlfn.TEXTJOIN(CHAR(10),FALSE,[1]表框架!O23,VLOOKUP([1]表框架!O23,'[1]PIN list'!$B:$E,2)))</f>
        <v>G34
D_GND</v>
      </c>
      <c r="P23" s="7" t="str">
        <f>IF(COUNTA([1]表框架!P23)=0,"",_xlfn.TEXTJOIN(CHAR(10),FALSE,[1]表框架!P23,VLOOKUP([1]表框架!P23,'[1]PIN list'!$B:$E,2)))</f>
        <v>G33
D_GND</v>
      </c>
      <c r="Q23" s="7" t="str">
        <f>IF(COUNTA([1]表框架!Q23)=0,"",_xlfn.TEXTJOIN(CHAR(10),FALSE,[1]表框架!Q23,VLOOKUP([1]表框架!Q23,'[1]PIN list'!$B:$E,2)))</f>
        <v>G32
D_GND</v>
      </c>
      <c r="R23" s="7" t="str">
        <f>IF(COUNTA([1]表框架!R23)=0,"",_xlfn.TEXTJOIN(CHAR(10),FALSE,[1]表框架!R23,VLOOKUP([1]表框架!R23,'[1]PIN list'!$B:$E,2)))</f>
        <v>G31
D_GND</v>
      </c>
      <c r="S23" s="7" t="str">
        <f>IF(COUNTA([1]表框架!S23)=0,"",_xlfn.TEXTJOIN(CHAR(10),FALSE,[1]表框架!S23,VLOOKUP([1]表框架!S23,'[1]PIN list'!$B:$E,2)))</f>
        <v>G30
D_GND</v>
      </c>
      <c r="T23" s="7" t="str">
        <f>IF(COUNTA([1]表框架!T23)=0,"",_xlfn.TEXTJOIN(CHAR(10),FALSE,[1]表框架!T23,VLOOKUP([1]表框架!T23,'[1]PIN list'!$B:$E,2)))</f>
        <v>G29
D_GND</v>
      </c>
      <c r="U23" s="7" t="str">
        <f>IF(COUNTA([1]表框架!U23)=0,"",_xlfn.TEXTJOIN(CHAR(10),FALSE,[1]表框架!U23,VLOOKUP([1]表框架!U23,'[1]PIN list'!$B:$E,2)))</f>
        <v>G28
D_GND</v>
      </c>
      <c r="V23" s="7" t="str">
        <f>IF(COUNTA([1]表框架!V23)=0,"",_xlfn.TEXTJOIN(CHAR(10),FALSE,[1]表框架!V23,VLOOKUP([1]表框架!V23,'[1]PIN list'!$B:$E,2)))</f>
        <v>G27
D_GND</v>
      </c>
      <c r="W23" s="6" t="str">
        <f>IF(COUNTA([1]表框架!W23)=0,"",_xlfn.TEXTJOIN(CHAR(10),FALSE,[1]表框架!W23,VLOOKUP([1]表框架!W23,'[1]PIN list'!$B:$E,2)))</f>
        <v/>
      </c>
      <c r="X23" s="6" t="str">
        <f>IF(COUNTA([1]表框架!X23)=0,"",_xlfn.TEXTJOIN(CHAR(10),FALSE,[1]表框架!X23,VLOOKUP([1]表框架!X23,'[1]PIN list'!$B:$E,2)))</f>
        <v/>
      </c>
      <c r="Y23" s="13" t="str">
        <f>IF(COUNTA([1]表框架!Y23)=0,"",_xlfn.TEXTJOIN(CHAR(10),FALSE,[1]表框架!Y23,VLOOKUP([1]表框架!Y23,'[1]PIN list'!$B:$E,2)))</f>
        <v>286
SPI3_MO</v>
      </c>
      <c r="Z23" s="12" t="str">
        <f>IF(COUNTA([1]表框架!Z23)=0,"",_xlfn.TEXTJOIN(CHAR(10),FALSE,[1]表框架!Z23,VLOOKUP([1]表框架!Z23,'[1]PIN list'!$B:$E,2)))</f>
        <v>287
SPI3_MI</v>
      </c>
      <c r="AA23" s="7" t="str">
        <f>IF(COUNTA([1]表框架!AA23)=0,"",_xlfn.TEXTJOIN(CHAR(10),FALSE,[1]表框架!AA23,VLOOKUP([1]表框架!AA23,'[1]PIN list'!$B:$E,2)))</f>
        <v>288
D_GND</v>
      </c>
      <c r="AB23" s="42" t="str">
        <f>IF(COUNTA([1]表框架!AB23)=0,"",_xlfn.TEXTJOIN(CHAR(10),FALSE,[1]表框架!AB23,VLOOKUP([1]表框架!AB23,'[1]PIN list'!$B:$E,2)))</f>
        <v>289
DSI0_D0P</v>
      </c>
      <c r="AC23" s="42" t="str">
        <f>IF(COUNTA([1]表框架!AC23)=0,"",_xlfn.TEXTJOIN(CHAR(10),FALSE,[1]表框架!AC23,VLOOKUP([1]表框架!AC23,'[1]PIN list'!$B:$E,2)))</f>
        <v>290
DSI0_D0N</v>
      </c>
      <c r="AD23" s="39" t="str">
        <f>IF(COUNTA([1]表框架!AD23)=0,"",_xlfn.TEXTJOIN(CHAR(10),FALSE,[1]表框架!AD23,VLOOKUP([1]表框架!AD23,'[1]PIN list'!$B:$E,2)))</f>
        <v>291
NC</v>
      </c>
    </row>
    <row r="24" s="1" customFormat="1" ht="56.65" customHeight="1" spans="1:30">
      <c r="A24" s="1">
        <v>23</v>
      </c>
      <c r="B24" s="5" t="str">
        <f>IF(COUNTA([1]表框架!B24)=0,"",_xlfn.TEXTJOIN(CHAR(10),FALSE,[1]表框架!B24,VLOOKUP([1]表框架!B24,'[1]PIN list'!$B:$E,2)))</f>
        <v>112
D_GND</v>
      </c>
      <c r="C24" s="12" t="str">
        <f>IF(COUNTA([1]表框架!C24)=0,"",_xlfn.TEXTJOIN(CHAR(10),FALSE,[1]表框架!C24,VLOOKUP([1]表框架!C24,'[1]PIN list'!$B:$E,2)))</f>
        <v>113
SCL7</v>
      </c>
      <c r="D24" s="7" t="str">
        <f>IF(COUNTA([1]表框架!D24)=0,"",_xlfn.TEXTJOIN(CHAR(10),FALSE,[1]表框架!D24,VLOOKUP([1]表框架!D24,'[1]PIN list'!$B:$E,2)))</f>
        <v>114
D_GND</v>
      </c>
      <c r="E24" s="12" t="str">
        <f>IF(COUNTA([1]表框架!E24)=0,"",_xlfn.TEXTJOIN(CHAR(10),FALSE,[1]表框架!E24,VLOOKUP([1]表框架!E24,'[1]PIN list'!$B:$E,2)))</f>
        <v>115
SDA0</v>
      </c>
      <c r="F24" s="13" t="str">
        <f>IF(COUNTA([1]表框架!F24)=0,"",_xlfn.TEXTJOIN(CHAR(10),FALSE,[1]表框架!F24,VLOOKUP([1]表框架!F24,'[1]PIN list'!$B:$E,2)))</f>
        <v>116
GPIO110</v>
      </c>
      <c r="G24" s="12" t="str">
        <f>IF(COUNTA([1]表框架!G24)=0,"",_xlfn.TEXTJOIN(CHAR(10),FALSE,[1]表框架!G24,VLOOKUP([1]表框架!G24,'[1]PIN list'!$B:$E,2)))</f>
        <v>117
GPIO106</v>
      </c>
      <c r="H24" s="6" t="str">
        <f>IF(COUNTA([1]表框架!H24)=0,"",_xlfn.TEXTJOIN(CHAR(10),FALSE,[1]表框架!H24,VLOOKUP([1]表框架!H24,'[1]PIN list'!$B:$E,2)))</f>
        <v/>
      </c>
      <c r="I24" s="6" t="str">
        <f>IF(COUNTA([1]表框架!I24)=0,"",_xlfn.TEXTJOIN(CHAR(10),FALSE,[1]表框架!I24,VLOOKUP([1]表框架!I24,'[1]PIN list'!$B:$E,2)))</f>
        <v/>
      </c>
      <c r="J24" s="6" t="str">
        <f>IF(COUNTA([1]表框架!J24)=0,"",_xlfn.TEXTJOIN(CHAR(10),FALSE,[1]表框架!J24,VLOOKUP([1]表框架!J24,'[1]PIN list'!$B:$E,2)))</f>
        <v/>
      </c>
      <c r="K24" s="6" t="str">
        <f>IF(COUNTA([1]表框架!K24)=0,"",_xlfn.TEXTJOIN(CHAR(10),FALSE,[1]表框架!K24,VLOOKUP([1]表框架!K24,'[1]PIN list'!$B:$E,2)))</f>
        <v/>
      </c>
      <c r="L24" s="6" t="str">
        <f>IF(COUNTA([1]表框架!L24)=0,"",_xlfn.TEXTJOIN(CHAR(10),FALSE,[1]表框架!L24,VLOOKUP([1]表框架!L24,'[1]PIN list'!$B:$E,2)))</f>
        <v/>
      </c>
      <c r="M24" s="6" t="str">
        <f>IF(COUNTA([1]表框架!M24)=0,"",_xlfn.TEXTJOIN(CHAR(10),FALSE,[1]表框架!M24,VLOOKUP([1]表框架!M24,'[1]PIN list'!$B:$E,2)))</f>
        <v/>
      </c>
      <c r="N24" s="6" t="str">
        <f>IF(COUNTA([1]表框架!N24)=0,"",_xlfn.TEXTJOIN(CHAR(10),FALSE,[1]表框架!N24,VLOOKUP([1]表框架!N24,'[1]PIN list'!$B:$E,2)))</f>
        <v/>
      </c>
      <c r="O24" s="6" t="str">
        <f>IF(COUNTA([1]表框架!O24)=0,"",_xlfn.TEXTJOIN(CHAR(10),FALSE,[1]表框架!O24,VLOOKUP([1]表框架!O24,'[1]PIN list'!$B:$E,2)))</f>
        <v/>
      </c>
      <c r="P24" s="6" t="str">
        <f>IF(COUNTA([1]表框架!P24)=0,"",_xlfn.TEXTJOIN(CHAR(10),FALSE,[1]表框架!P24,VLOOKUP([1]表框架!P24,'[1]PIN list'!$B:$E,2)))</f>
        <v/>
      </c>
      <c r="Q24" s="6" t="str">
        <f>IF(COUNTA([1]表框架!Q24)=0,"",_xlfn.TEXTJOIN(CHAR(10),FALSE,[1]表框架!Q24,VLOOKUP([1]表框架!Q24,'[1]PIN list'!$B:$E,2)))</f>
        <v/>
      </c>
      <c r="R24" s="6" t="str">
        <f>IF(COUNTA([1]表框架!R24)=0,"",_xlfn.TEXTJOIN(CHAR(10),FALSE,[1]表框架!R24,VLOOKUP([1]表框架!R24,'[1]PIN list'!$B:$E,2)))</f>
        <v/>
      </c>
      <c r="S24" s="6" t="str">
        <f>IF(COUNTA([1]表框架!S24)=0,"",_xlfn.TEXTJOIN(CHAR(10),FALSE,[1]表框架!S24,VLOOKUP([1]表框架!S24,'[1]PIN list'!$B:$E,2)))</f>
        <v/>
      </c>
      <c r="T24" s="6" t="str">
        <f>IF(COUNTA([1]表框架!T24)=0,"",_xlfn.TEXTJOIN(CHAR(10),FALSE,[1]表框架!T24,VLOOKUP([1]表框架!T24,'[1]PIN list'!$B:$E,2)))</f>
        <v/>
      </c>
      <c r="U24" s="6" t="str">
        <f>IF(COUNTA([1]表框架!U24)=0,"",_xlfn.TEXTJOIN(CHAR(10),FALSE,[1]表框架!U24,VLOOKUP([1]表框架!U24,'[1]PIN list'!$B:$E,2)))</f>
        <v/>
      </c>
      <c r="V24" s="6" t="str">
        <f>IF(COUNTA([1]表框架!V24)=0,"",_xlfn.TEXTJOIN(CHAR(10),FALSE,[1]表框架!V24,VLOOKUP([1]表框架!V24,'[1]PIN list'!$B:$E,2)))</f>
        <v/>
      </c>
      <c r="W24" s="6" t="str">
        <f>IF(COUNTA([1]表框架!W24)=0,"",_xlfn.TEXTJOIN(CHAR(10),FALSE,[1]表框架!W24,VLOOKUP([1]表框架!W24,'[1]PIN list'!$B:$E,2)))</f>
        <v/>
      </c>
      <c r="X24" s="6" t="str">
        <f>IF(COUNTA([1]表框架!X24)=0,"",_xlfn.TEXTJOIN(CHAR(10),FALSE,[1]表框架!X24,VLOOKUP([1]表框架!X24,'[1]PIN list'!$B:$E,2)))</f>
        <v/>
      </c>
      <c r="Y24" s="12" t="str">
        <f>IF(COUNTA([1]表框架!Y24)=0,"",_xlfn.TEXTJOIN(CHAR(10),FALSE,[1]表框架!Y24,VLOOKUP([1]表框架!Y24,'[1]PIN list'!$B:$E,2)))</f>
        <v>285
SPI3_CK</v>
      </c>
      <c r="Z24" s="13" t="str">
        <f>IF(COUNTA([1]表框架!Z24)=0,"",_xlfn.TEXTJOIN(CHAR(10),FALSE,[1]表框架!Z24,VLOOKUP([1]表框架!Z24,'[1]PIN list'!$B:$E,2)))</f>
        <v>284
SPI3_CSB_SWTP</v>
      </c>
      <c r="AA24" s="42" t="str">
        <f>IF(COUNTA([1]表框架!AA24)=0,"",_xlfn.TEXTJOIN(CHAR(10),FALSE,[1]表框架!AA24,VLOOKUP([1]表框架!AA24,'[1]PIN list'!$B:$E,2)))</f>
        <v>283
DSI0_D1P</v>
      </c>
      <c r="AB24" s="42" t="str">
        <f>IF(COUNTA([1]表框架!AB24)=0,"",_xlfn.TEXTJOIN(CHAR(10),FALSE,[1]表框架!AB24,VLOOKUP([1]表框架!AB24,'[1]PIN list'!$B:$E,2)))</f>
        <v>282
DSI0_D1N</v>
      </c>
      <c r="AC24" s="42" t="str">
        <f>IF(COUNTA([1]表框架!AC24)=0,"",_xlfn.TEXTJOIN(CHAR(10),FALSE,[1]表框架!AC24,VLOOKUP([1]表框架!AC24,'[1]PIN list'!$B:$E,2)))</f>
        <v>281
DSI0_D3P</v>
      </c>
      <c r="AD24" s="44" t="str">
        <f>IF(COUNTA([1]表框架!AD24)=0,"",_xlfn.TEXTJOIN(CHAR(10),FALSE,[1]表框架!AD24,VLOOKUP([1]表框架!AD24,'[1]PIN list'!$B:$E,2)))</f>
        <v>280
DSI0_D3N</v>
      </c>
    </row>
    <row r="25" s="1" customFormat="1" ht="56.65" customHeight="1" spans="1:30">
      <c r="A25" s="1">
        <v>24</v>
      </c>
      <c r="B25" s="17" t="str">
        <f>IF(COUNTA([1]表框架!B25)=0,"",_xlfn.TEXTJOIN(CHAR(10),FALSE,[1]表框架!B25,VLOOKUP([1]表框架!B25,'[1]PIN list'!$B:$E,2)))</f>
        <v>122
GPIO63</v>
      </c>
      <c r="C25" s="18" t="str">
        <f>IF(COUNTA([1]表框架!C25)=0,"",_xlfn.TEXTJOIN(CHAR(10),FALSE,[1]表框架!C25,VLOOKUP([1]表框架!C25,'[1]PIN list'!$B:$E,2)))</f>
        <v>121
GPIO91_DP_TX_HPD</v>
      </c>
      <c r="D25" s="7" t="str">
        <f>IF(COUNTA([1]表框架!D25)=0,"",_xlfn.TEXTJOIN(CHAR(10),FALSE,[1]表框架!D25,VLOOKUP([1]表框架!D25,'[1]PIN list'!$B:$E,2)))</f>
        <v>120
D_GND</v>
      </c>
      <c r="E25" s="13" t="str">
        <f>IF(COUNTA([1]表框架!E25)=0,"",_xlfn.TEXTJOIN(CHAR(10),FALSE,[1]表框架!E25,VLOOKUP([1]表框架!E25,'[1]PIN list'!$B:$E,2)))</f>
        <v>119
SCL0</v>
      </c>
      <c r="F25" s="7" t="str">
        <f>IF(COUNTA([1]表框架!F25)=0,"",_xlfn.TEXTJOIN(CHAR(10),FALSE,[1]表框架!F25,VLOOKUP([1]表框架!F25,'[1]PIN list'!$B:$E,2)))</f>
        <v>118
D_GND</v>
      </c>
      <c r="G25" s="6" t="str">
        <f>IF(COUNTA([1]表框架!G25)=0,"",_xlfn.TEXTJOIN(CHAR(10),FALSE,[1]表框架!G25,VLOOKUP([1]表框架!G25,'[1]PIN list'!$B:$E,2)))</f>
        <v/>
      </c>
      <c r="H25" s="7" t="str">
        <f>IF(COUNTA([1]表框架!H25)=0,"",_xlfn.TEXTJOIN(CHAR(10),FALSE,[1]表框架!H25,VLOOKUP([1]表框架!H25,'[1]PIN list'!$B:$E,2)))</f>
        <v>153
D_GND</v>
      </c>
      <c r="I25" s="11" t="str">
        <f>IF(COUNTA([1]表框架!I25)=0,"",_xlfn.TEXTJOIN(CHAR(10),FALSE,[1]表框架!I25,VLOOKUP([1]表框架!I25,'[1]PIN list'!$B:$E,2)))</f>
        <v>154
NC</v>
      </c>
      <c r="J25" s="19" t="str">
        <f>IF(COUNTA([1]表框架!J25)=0,"",_xlfn.TEXTJOIN(CHAR(10),FALSE,[1]表框架!J25,VLOOKUP([1]表框架!J25,'[1]PIN list'!$B:$E,2)))</f>
        <v>165
NC</v>
      </c>
      <c r="K25" s="15" t="str">
        <f>IF(COUNTA([1]表框架!K25)=0,"",_xlfn.TEXTJOIN(CHAR(10),FALSE,[1]表框架!K25,VLOOKUP([1]表框架!K25,'[1]PIN list'!$B:$E,2)))</f>
        <v>166
D_GND</v>
      </c>
      <c r="L25" s="19" t="str">
        <f>IF(COUNTA([1]表框架!L25)=0,"",_xlfn.TEXTJOIN(CHAR(10),FALSE,[1]表框架!L25,VLOOKUP([1]表框架!L25,'[1]PIN list'!$B:$E,2)))</f>
        <v>177
NC</v>
      </c>
      <c r="M25" s="11" t="str">
        <f>IF(COUNTA([1]表框架!M25)=0,"",_xlfn.TEXTJOIN(CHAR(10),FALSE,[1]表框架!M25,VLOOKUP([1]表框架!M25,'[1]PIN list'!$B:$E,2)))</f>
        <v>178
NC</v>
      </c>
      <c r="N25" s="19" t="str">
        <f>IF(COUNTA([1]表框架!N25)=0,"",_xlfn.TEXTJOIN(CHAR(10),FALSE,[1]表框架!N25,VLOOKUP([1]表框架!N25,'[1]PIN list'!$B:$E,2)))</f>
        <v>189
GPIO190</v>
      </c>
      <c r="O25" s="11" t="str">
        <f>IF(COUNTA([1]表框架!O25)=0,"",_xlfn.TEXTJOIN(CHAR(10),FALSE,[1]表框架!O25,VLOOKUP([1]表框架!O25,'[1]PIN list'!$B:$E,2)))</f>
        <v>190
NC</v>
      </c>
      <c r="P25" s="15" t="str">
        <f>IF(COUNTA([1]表框架!P25)=0,"",_xlfn.TEXTJOIN(CHAR(10),FALSE,[1]表框架!P25,VLOOKUP([1]表框架!P25,'[1]PIN list'!$B:$E,2)))</f>
        <v>201
D_GND</v>
      </c>
      <c r="Q25" s="15" t="str">
        <f>IF(COUNTA([1]表框架!Q25)=0,"",_xlfn.TEXTJOIN(CHAR(10),FALSE,[1]表框架!Q25,VLOOKUP([1]表框架!Q25,'[1]PIN list'!$B:$E,2)))</f>
        <v>202
D_GND</v>
      </c>
      <c r="R25" s="19" t="str">
        <f>IF(COUNTA([1]表框架!R25)=0,"",_xlfn.TEXTJOIN(CHAR(10),FALSE,[1]表框架!R25,VLOOKUP([1]表框架!R25,'[1]PIN list'!$B:$E,2)))</f>
        <v>213
NC</v>
      </c>
      <c r="S25" s="11" t="str">
        <f>IF(COUNTA([1]表框架!S25)=0,"",_xlfn.TEXTJOIN(CHAR(10),FALSE,[1]表框架!S25,VLOOKUP([1]表框架!S25,'[1]PIN list'!$B:$E,2)))</f>
        <v>214
NC</v>
      </c>
      <c r="T25" s="19" t="str">
        <f>IF(COUNTA([1]表框架!T25)=0,"",_xlfn.TEXTJOIN(CHAR(10),FALSE,[1]表框架!T25,VLOOKUP([1]表框架!T25,'[1]PIN list'!$B:$E,2)))</f>
        <v>225
GPIO84</v>
      </c>
      <c r="U25" s="11" t="str">
        <f>IF(COUNTA([1]表框架!U25)=0,"",_xlfn.TEXTJOIN(CHAR(10),FALSE,[1]表框架!U25,VLOOKUP([1]表框架!U25,'[1]PIN list'!$B:$E,2)))</f>
        <v>226
NC</v>
      </c>
      <c r="V25" s="26" t="str">
        <f>IF(COUNTA([1]表框架!V25)=0,"",_xlfn.TEXTJOIN(CHAR(10),FALSE,[1]表框架!V25,VLOOKUP([1]表框架!V25,'[1]PIN list'!$B:$E,2)))</f>
        <v>237
VSIM2_PMU</v>
      </c>
      <c r="W25" s="26" t="str">
        <f>IF(COUNTA([1]表框架!W25)=0,"",_xlfn.TEXTJOIN(CHAR(10),FALSE,[1]表框架!W25,VLOOKUP([1]表框架!W25,'[1]PIN list'!$B:$E,2)))</f>
        <v>238
SIM2_SIO</v>
      </c>
      <c r="X25" s="7" t="str">
        <f>IF(COUNTA([1]表框架!X25)=0,"",_xlfn.TEXTJOIN(CHAR(10),FALSE,[1]表框架!X25,VLOOKUP([1]表框架!X25,'[1]PIN list'!$B:$E,2)))</f>
        <v>249
D_GND</v>
      </c>
      <c r="Y25" s="6" t="str">
        <f>IF(COUNTA([1]表框架!Y25)=0,"",_xlfn.TEXTJOIN(CHAR(10),FALSE,[1]表框架!Y25,VLOOKUP([1]表框架!Y25,'[1]PIN list'!$B:$E,2)))</f>
        <v/>
      </c>
      <c r="Z25" s="7" t="str">
        <f>IF(COUNTA([1]表框架!Z25)=0,"",_xlfn.TEXTJOIN(CHAR(10),FALSE,[1]表框架!Z25,VLOOKUP([1]表框架!Z25,'[1]PIN list'!$B:$E,2)))</f>
        <v>275
D_GND</v>
      </c>
      <c r="AA25" s="42" t="str">
        <f>IF(COUNTA([1]表框架!AA25)=0,"",_xlfn.TEXTJOIN(CHAR(10),FALSE,[1]表框架!AA25,VLOOKUP([1]表框架!AA25,'[1]PIN list'!$B:$E,2)))</f>
        <v>276
DSI1_D3P</v>
      </c>
      <c r="AB25" s="42" t="str">
        <f>IF(COUNTA([1]表框架!AB25)=0,"",_xlfn.TEXTJOIN(CHAR(10),FALSE,[1]表框架!AB25,VLOOKUP([1]表框架!AB25,'[1]PIN list'!$B:$E,2)))</f>
        <v>277
DSI1_D3N</v>
      </c>
      <c r="AC25" s="42" t="str">
        <f>IF(COUNTA([1]表框架!AC25)=0,"",_xlfn.TEXTJOIN(CHAR(10),FALSE,[1]表框架!AC25,VLOOKUP([1]表框架!AC25,'[1]PIN list'!$B:$E,2)))</f>
        <v>278
DSI0_D2P</v>
      </c>
      <c r="AD25" s="44" t="str">
        <f>IF(COUNTA([1]表框架!AD25)=0,"",_xlfn.TEXTJOIN(CHAR(10),FALSE,[1]表框架!AD25,VLOOKUP([1]表框架!AD25,'[1]PIN list'!$B:$E,2)))</f>
        <v>279
DSI0_D2N</v>
      </c>
    </row>
    <row r="26" s="1" customFormat="1" ht="56.65" customHeight="1" spans="1:30">
      <c r="A26" s="1">
        <v>25</v>
      </c>
      <c r="B26" s="16" t="str">
        <f>IF(COUNTA([1]表框架!B26)=0,"",_xlfn.TEXTJOIN(CHAR(10),FALSE,[1]表框架!B26,VLOOKUP([1]表框架!B26,'[1]PIN list'!$B:$E,2)))</f>
        <v>123
GPIO132_DISP_PWM1</v>
      </c>
      <c r="C26" s="18" t="str">
        <f>IF(COUNTA([1]表框架!C26)=0,"",_xlfn.TEXTJOIN(CHAR(10),FALSE,[1]表框架!C26,VLOOKUP([1]表框架!C26,'[1]PIN list'!$B:$E,2)))</f>
        <v>124
GPIO92_DP_OC_EN</v>
      </c>
      <c r="D26" s="7" t="str">
        <f>IF(COUNTA([1]表框架!D26)=0,"",_xlfn.TEXTJOIN(CHAR(10),FALSE,[1]表框架!D26,VLOOKUP([1]表框架!D26,'[1]PIN list'!$B:$E,2)))</f>
        <v>125
D_GND</v>
      </c>
      <c r="E26" s="7" t="str">
        <f>IF(COUNTA([1]表框架!E26)=0,"",_xlfn.TEXTJOIN(CHAR(10),FALSE,[1]表框架!E26,VLOOKUP([1]表框架!E26,'[1]PIN list'!$B:$E,2)))</f>
        <v>126
D_GND</v>
      </c>
      <c r="F26" s="6" t="str">
        <f>IF(COUNTA([1]表框架!F26)=0,"",_xlfn.TEXTJOIN(CHAR(10),FALSE,[1]表框架!F26,VLOOKUP([1]表框架!F26,'[1]PIN list'!$B:$E,2)))</f>
        <v/>
      </c>
      <c r="G26" s="19" t="str">
        <f>IF(COUNTA([1]表框架!G26)=0,"",_xlfn.TEXTJOIN(CHAR(10),FALSE,[1]表框架!G26,VLOOKUP([1]表框架!G26,'[1]PIN list'!$B:$E,2)))</f>
        <v>143
NC</v>
      </c>
      <c r="H26" s="7" t="str">
        <f>IF(COUNTA([1]表框架!H26)=0,"",_xlfn.TEXTJOIN(CHAR(10),FALSE,[1]表框架!H26,VLOOKUP([1]表框架!H26,'[1]PIN list'!$B:$E,2)))</f>
        <v>152
D_GND</v>
      </c>
      <c r="I26" s="19" t="str">
        <f>IF(COUNTA([1]表框架!I26)=0,"",_xlfn.TEXTJOIN(CHAR(10),FALSE,[1]表框架!I26,VLOOKUP([1]表框架!I26,'[1]PIN list'!$B:$E,2)))</f>
        <v>155
NC</v>
      </c>
      <c r="J26" s="11" t="str">
        <f>IF(COUNTA([1]表框架!J26)=0,"",_xlfn.TEXTJOIN(CHAR(10),FALSE,[1]表框架!J26,VLOOKUP([1]表框架!J26,'[1]PIN list'!$B:$E,2)))</f>
        <v>164
NC</v>
      </c>
      <c r="K26" s="15" t="str">
        <f>IF(COUNTA([1]表框架!K26)=0,"",_xlfn.TEXTJOIN(CHAR(10),FALSE,[1]表框架!K26,VLOOKUP([1]表框架!K26,'[1]PIN list'!$B:$E,2)))</f>
        <v>167
D_GND</v>
      </c>
      <c r="L26" s="11" t="str">
        <f>IF(COUNTA([1]表框架!L26)=0,"",_xlfn.TEXTJOIN(CHAR(10),FALSE,[1]表框架!L26,VLOOKUP([1]表框架!L26,'[1]PIN list'!$B:$E,2)))</f>
        <v>176
NC</v>
      </c>
      <c r="M26" s="19" t="str">
        <f>IF(COUNTA([1]表框架!M26)=0,"",_xlfn.TEXTJOIN(CHAR(10),FALSE,[1]表框架!M26,VLOOKUP([1]表框架!M26,'[1]PIN list'!$B:$E,2)))</f>
        <v>179
NC</v>
      </c>
      <c r="N26" s="11" t="str">
        <f>IF(COUNTA([1]表框架!N26)=0,"",_xlfn.TEXTJOIN(CHAR(10),FALSE,[1]表框架!N26,VLOOKUP([1]表框架!N26,'[1]PIN list'!$B:$E,2)))</f>
        <v>188
BPI_D_BUS1</v>
      </c>
      <c r="O26" s="19" t="str">
        <f>IF(COUNTA([1]表框架!O26)=0,"",_xlfn.TEXTJOIN(CHAR(10),FALSE,[1]表框架!O26,VLOOKUP([1]表框架!O26,'[1]PIN list'!$B:$E,2)))</f>
        <v>191
VUSB_PMU</v>
      </c>
      <c r="P26" s="11" t="str">
        <f>IF(COUNTA([1]表框架!P26)=0,"",_xlfn.TEXTJOIN(CHAR(10),FALSE,[1]表框架!P26,VLOOKUP([1]表框架!P26,'[1]PIN list'!$B:$E,2)))</f>
        <v>200
NC</v>
      </c>
      <c r="Q26" s="15" t="str">
        <f>IF(COUNTA([1]表框架!Q26)=0,"",_xlfn.TEXTJOIN(CHAR(10),FALSE,[1]表框架!Q26,VLOOKUP([1]表框架!Q26,'[1]PIN list'!$B:$E,2)))</f>
        <v>203
D_GND</v>
      </c>
      <c r="R26" s="15" t="str">
        <f>IF(COUNTA([1]表框架!R26)=0,"",_xlfn.TEXTJOIN(CHAR(10),FALSE,[1]表框架!R26,VLOOKUP([1]表框架!R26,'[1]PIN list'!$B:$E,2)))</f>
        <v>212
D_GND</v>
      </c>
      <c r="S26" s="19" t="str">
        <f>IF(COUNTA([1]表框架!S26)=0,"",_xlfn.TEXTJOIN(CHAR(10),FALSE,[1]表框架!S26,VLOOKUP([1]表框架!S26,'[1]PIN list'!$B:$E,2)))</f>
        <v>215
NC</v>
      </c>
      <c r="T26" s="15" t="str">
        <f>IF(COUNTA([1]表框架!T26)=0,"",_xlfn.TEXTJOIN(CHAR(10),FALSE,[1]表框架!T26,VLOOKUP([1]表框架!T26,'[1]PIN list'!$B:$E,2)))</f>
        <v>224
D_GND</v>
      </c>
      <c r="U26" s="19" t="str">
        <f>IF(COUNTA([1]表框架!U26)=0,"",_xlfn.TEXTJOIN(CHAR(10),FALSE,[1]表框架!U26,VLOOKUP([1]表框架!U26,'[1]PIN list'!$B:$E,2)))</f>
        <v>227
SCL3</v>
      </c>
      <c r="V26" s="11" t="str">
        <f>IF(COUNTA([1]表框架!V26)=0,"",_xlfn.TEXTJOIN(CHAR(10),FALSE,[1]表框架!V26,VLOOKUP([1]表框架!V26,'[1]PIN list'!$B:$E,2)))</f>
        <v>236
SDA3</v>
      </c>
      <c r="W26" s="26" t="str">
        <f>IF(COUNTA([1]表框架!W26)=0,"",_xlfn.TEXTJOIN(CHAR(10),FALSE,[1]表框架!W26,VLOOKUP([1]表框架!W26,'[1]PIN list'!$B:$E,2)))</f>
        <v>239
SIM2_SRST</v>
      </c>
      <c r="X26" s="26" t="str">
        <f>IF(COUNTA([1]表框架!X26)=0,"",_xlfn.TEXTJOIN(CHAR(10),FALSE,[1]表框架!X26,VLOOKUP([1]表框架!X26,'[1]PIN list'!$B:$E,2)))</f>
        <v>248
SIM2_SCLK</v>
      </c>
      <c r="Y26" s="26" t="str">
        <f>IF(COUNTA([1]表框架!Y26)=0,"",_xlfn.TEXTJOIN(CHAR(10),FALSE,[1]表框架!Y26,VLOOKUP([1]表框架!Y26,'[1]PIN list'!$B:$E,2)))</f>
        <v>250
VSIM1_PMU</v>
      </c>
      <c r="Z26" s="6" t="str">
        <f>IF(COUNTA([1]表框架!Z26)=0,"",_xlfn.TEXTJOIN(CHAR(10),FALSE,[1]表框架!Z26,VLOOKUP([1]表框架!Z26,'[1]PIN list'!$B:$E,2)))</f>
        <v/>
      </c>
      <c r="AA26" s="42" t="str">
        <f>IF(COUNTA([1]表框架!AA26)=0,"",_xlfn.TEXTJOIN(CHAR(10),FALSE,[1]表框架!AA26,VLOOKUP([1]表框架!AA26,'[1]PIN list'!$B:$E,2)))</f>
        <v>274
DSI1_D2P</v>
      </c>
      <c r="AB26" s="42" t="str">
        <f>IF(COUNTA([1]表框架!AB26)=0,"",_xlfn.TEXTJOIN(CHAR(10),FALSE,[1]表框架!AB26,VLOOKUP([1]表框架!AB26,'[1]PIN list'!$B:$E,2)))</f>
        <v>273
DSI1_D2N</v>
      </c>
      <c r="AC26" s="42" t="str">
        <f>IF(COUNTA([1]表框架!AC26)=0,"",_xlfn.TEXTJOIN(CHAR(10),FALSE,[1]表框架!AC26,VLOOKUP([1]表框架!AC26,'[1]PIN list'!$B:$E,2)))</f>
        <v>272
DSI1_D1P</v>
      </c>
      <c r="AD26" s="44" t="str">
        <f>IF(COUNTA([1]表框架!AD26)=0,"",_xlfn.TEXTJOIN(CHAR(10),FALSE,[1]表框架!AD26,VLOOKUP([1]表框架!AD26,'[1]PIN list'!$B:$E,2)))</f>
        <v>271
DSI1_D1N</v>
      </c>
    </row>
    <row r="27" s="1" customFormat="1" ht="56.65" customHeight="1" spans="1:30">
      <c r="A27" s="1">
        <v>26</v>
      </c>
      <c r="B27" s="5" t="str">
        <f>IF(COUNTA([1]表框架!B27)=0,"",_xlfn.TEXTJOIN(CHAR(10),FALSE,[1]表框架!B27,VLOOKUP([1]表框架!B27,'[1]PIN list'!$B:$E,2)))</f>
        <v>129
D_GND</v>
      </c>
      <c r="C27" s="13" t="str">
        <f>IF(COUNTA([1]表框架!C27)=0,"",_xlfn.TEXTJOIN(CHAR(10),FALSE,[1]表框架!C27,VLOOKUP([1]表框架!C27,'[1]PIN list'!$B:$E,2)))</f>
        <v>128
NC</v>
      </c>
      <c r="D27" s="12" t="str">
        <f>IF(COUNTA([1]表框架!D27)=0,"",_xlfn.TEXTJOIN(CHAR(10),FALSE,[1]表框架!D27,VLOOKUP([1]表框架!D27,'[1]PIN list'!$B:$E,2)))</f>
        <v>127
NC</v>
      </c>
      <c r="E27" s="6" t="str">
        <f>IF(COUNTA([1]表框架!E27)=0,"",_xlfn.TEXTJOIN(CHAR(10),FALSE,[1]表框架!E27,VLOOKUP([1]表框架!E27,'[1]PIN list'!$B:$E,2)))</f>
        <v/>
      </c>
      <c r="F27" s="7" t="str">
        <f>IF(COUNTA([1]表框架!F27)=0,"",_xlfn.TEXTJOIN(CHAR(10),FALSE,[1]表框架!F27,VLOOKUP([1]表框架!F27,'[1]PIN list'!$B:$E,2)))</f>
        <v>142
D_GND</v>
      </c>
      <c r="G27" s="11" t="str">
        <f>IF(COUNTA([1]表框架!G27)=0,"",_xlfn.TEXTJOIN(CHAR(10),FALSE,[1]表框架!G27,VLOOKUP([1]表框架!G27,'[1]PIN list'!$B:$E,2)))</f>
        <v>144
I2S1_DO</v>
      </c>
      <c r="H27" s="19" t="str">
        <f>IF(COUNTA([1]表框架!H27)=0,"",_xlfn.TEXTJOIN(CHAR(10),FALSE,[1]表框架!H27,VLOOKUP([1]表框架!H27,'[1]PIN list'!$B:$E,2)))</f>
        <v>151
I2S1_BCK</v>
      </c>
      <c r="I27" s="11" t="str">
        <f>IF(COUNTA([1]表框架!I27)=0,"",_xlfn.TEXTJOIN(CHAR(10),FALSE,[1]表框架!I27,VLOOKUP([1]表框架!I27,'[1]PIN list'!$B:$E,2)))</f>
        <v>156
I2S2_DO</v>
      </c>
      <c r="J27" s="19" t="str">
        <f>IF(COUNTA([1]表框架!J27)=0,"",_xlfn.TEXTJOIN(CHAR(10),FALSE,[1]表框架!J27,VLOOKUP([1]表框架!J27,'[1]PIN list'!$B:$E,2)))</f>
        <v>163
I2S2_BCK</v>
      </c>
      <c r="K27" s="11" t="str">
        <f>IF(COUNTA([1]表框架!K27)=0,"",_xlfn.TEXTJOIN(CHAR(10),FALSE,[1]表框架!K27,VLOOKUP([1]表框架!K27,'[1]PIN list'!$B:$E,2)))</f>
        <v>168
I2S0_DI</v>
      </c>
      <c r="L27" s="19" t="str">
        <f>IF(COUNTA([1]表框架!L27)=0,"",_xlfn.TEXTJOIN(CHAR(10),FALSE,[1]表框架!L27,VLOOKUP([1]表框架!L27,'[1]PIN list'!$B:$E,2)))</f>
        <v>175
I2S0_BCK</v>
      </c>
      <c r="M27" s="11" t="str">
        <f>IF(COUNTA([1]表框架!M27)=0,"",_xlfn.TEXTJOIN(CHAR(10),FALSE,[1]表框架!M27,VLOOKUP([1]表框架!M27,'[1]PIN list'!$B:$E,2)))</f>
        <v>180
SDA6</v>
      </c>
      <c r="N27" s="15" t="str">
        <f>IF(COUNTA([1]表框架!N27)=0,"",_xlfn.TEXTJOIN(CHAR(10),FALSE,[1]表框架!N27,VLOOKUP([1]表框架!N27,'[1]PIN list'!$B:$E,2)))</f>
        <v>187
D_GND</v>
      </c>
      <c r="O27" s="11" t="str">
        <f>IF(COUNTA([1]表框架!O27)=0,"",_xlfn.TEXTJOIN(CHAR(10),FALSE,[1]表框架!O27,VLOOKUP([1]表框架!O27,'[1]PIN list'!$B:$E,2)))</f>
        <v>192
NC</v>
      </c>
      <c r="P27" s="19" t="str">
        <f>IF(COUNTA([1]表框架!P27)=0,"",_xlfn.TEXTJOIN(CHAR(10),FALSE,[1]表框架!P27,VLOOKUP([1]表框架!P27,'[1]PIN list'!$B:$E,2)))</f>
        <v>199
NC</v>
      </c>
      <c r="Q27" s="11" t="str">
        <f>IF(COUNTA([1]表框架!Q27)=0,"",_xlfn.TEXTJOIN(CHAR(10),FALSE,[1]表框架!Q27,VLOOKUP([1]表框架!Q27,'[1]PIN list'!$B:$E,2)))</f>
        <v>204
NC</v>
      </c>
      <c r="R27" s="19" t="str">
        <f>IF(COUNTA([1]表框架!R27)=0,"",_xlfn.TEXTJOIN(CHAR(10),FALSE,[1]表框架!R27,VLOOKUP([1]表框架!R27,'[1]PIN list'!$B:$E,2)))</f>
        <v>211
NC</v>
      </c>
      <c r="S27" s="11" t="str">
        <f>IF(COUNTA([1]表框架!S27)=0,"",_xlfn.TEXTJOIN(CHAR(10),FALSE,[1]表框架!S27,VLOOKUP([1]表框架!S27,'[1]PIN list'!$B:$E,2)))</f>
        <v>216
NC</v>
      </c>
      <c r="T27" s="19" t="str">
        <f>IF(COUNTA([1]表框架!T27)=0,"",_xlfn.TEXTJOIN(CHAR(10),FALSE,[1]表框架!T27,VLOOKUP([1]表框架!T27,'[1]PIN list'!$B:$E,2)))</f>
        <v>223
NC</v>
      </c>
      <c r="U27" s="11" t="str">
        <f>IF(COUNTA([1]表框架!U27)=0,"",_xlfn.TEXTJOIN(CHAR(10),FALSE,[1]表框架!U27,VLOOKUP([1]表框架!U27,'[1]PIN list'!$B:$E,2)))</f>
        <v>228
NC</v>
      </c>
      <c r="V27" s="27" t="str">
        <f>IF(COUNTA([1]表框架!V27)=0,"",_xlfn.TEXTJOIN(CHAR(10),FALSE,[1]表框架!V27,VLOOKUP([1]表框架!V27,'[1]PIN list'!$B:$E,2)))</f>
        <v>235
MSDC1_DATA3</v>
      </c>
      <c r="W27" s="27" t="str">
        <f>IF(COUNTA([1]表框架!W27)=0,"",_xlfn.TEXTJOIN(CHAR(10),FALSE,[1]表框架!W27,VLOOKUP([1]表框架!W27,'[1]PIN list'!$B:$E,2)))</f>
        <v>240
MSDC1_DATA2</v>
      </c>
      <c r="X27" s="27" t="str">
        <f>IF(COUNTA([1]表框架!X27)=0,"",_xlfn.TEXTJOIN(CHAR(10),FALSE,[1]表框架!X27,VLOOKUP([1]表框架!X27,'[1]PIN list'!$B:$E,2)))</f>
        <v>247
MSDC1_CLK</v>
      </c>
      <c r="Y27" s="26" t="str">
        <f>IF(COUNTA([1]表框架!Y27)=0,"",_xlfn.TEXTJOIN(CHAR(10),FALSE,[1]表框架!Y27,VLOOKUP([1]表框架!Y27,'[1]PIN list'!$B:$E,2)))</f>
        <v>251
SIM1_SCLK</v>
      </c>
      <c r="Z27" s="26" t="str">
        <f>IF(COUNTA([1]表框架!Z27)=0,"",_xlfn.TEXTJOIN(CHAR(10),FALSE,[1]表框架!Z27,VLOOKUP([1]表框架!Z27,'[1]PIN list'!$B:$E,2)))</f>
        <v>258
SIM1_SRST</v>
      </c>
      <c r="AA27" s="6" t="str">
        <f>IF(COUNTA([1]表框架!AA27)=0,"",_xlfn.TEXTJOIN(CHAR(10),FALSE,[1]表框架!AA27,VLOOKUP([1]表框架!AA27,'[1]PIN list'!$B:$E,2)))</f>
        <v/>
      </c>
      <c r="AB27" s="7" t="str">
        <f>IF(COUNTA([1]表框架!AB27)=0,"",_xlfn.TEXTJOIN(CHAR(10),FALSE,[1]表框架!AB27,VLOOKUP([1]表框架!AB27,'[1]PIN list'!$B:$E,2)))</f>
        <v>268
D_GND</v>
      </c>
      <c r="AC27" s="42" t="str">
        <f>IF(COUNTA([1]表框架!AC27)=0,"",_xlfn.TEXTJOIN(CHAR(10),FALSE,[1]表框架!AC27,VLOOKUP([1]表框架!AC27,'[1]PIN list'!$B:$E,2)))</f>
        <v>269
DSI1_CKP</v>
      </c>
      <c r="AD27" s="44" t="str">
        <f>IF(COUNTA([1]表框架!AD27)=0,"",_xlfn.TEXTJOIN(CHAR(10),FALSE,[1]表框架!AD27,VLOOKUP([1]表框架!AD27,'[1]PIN list'!$B:$E,2)))</f>
        <v>270
DSI1_D0P</v>
      </c>
    </row>
    <row r="28" s="1" customFormat="1" ht="56.65" customHeight="1" spans="1:30">
      <c r="A28" s="1">
        <v>27</v>
      </c>
      <c r="B28" s="5" t="str">
        <f>IF(COUNTA([1]表框架!B28)=0,"",_xlfn.TEXTJOIN(CHAR(10),FALSE,[1]表框架!B28,VLOOKUP([1]表框架!B28,'[1]PIN list'!$B:$E,2)))</f>
        <v>130
D_GND</v>
      </c>
      <c r="C28" s="7" t="str">
        <f>IF(COUNTA([1]表框架!C28)=0,"",_xlfn.TEXTJOIN(CHAR(10),FALSE,[1]表框架!C28,VLOOKUP([1]表框架!C28,'[1]PIN list'!$B:$E,2)))</f>
        <v>131
D_GND</v>
      </c>
      <c r="D28" s="6" t="str">
        <f>IF(COUNTA([1]表框架!D28)=0,"",_xlfn.TEXTJOIN(CHAR(10),FALSE,[1]表框架!D28,VLOOKUP([1]表框架!D28,'[1]PIN list'!$B:$E,2)))</f>
        <v/>
      </c>
      <c r="E28" s="7" t="str">
        <f>IF(COUNTA([1]表框架!E28)=0,"",_xlfn.TEXTJOIN(CHAR(10),FALSE,[1]表框架!E28,VLOOKUP([1]表框架!E28,'[1]PIN list'!$B:$E,2)))</f>
        <v>136
D_GND</v>
      </c>
      <c r="F28" s="7" t="str">
        <f>IF(COUNTA([1]表框架!F28)=0,"",_xlfn.TEXTJOIN(CHAR(10),FALSE,[1]表框架!F28,VLOOKUP([1]表框架!F28,'[1]PIN list'!$B:$E,2)))</f>
        <v>141
D_GND</v>
      </c>
      <c r="G28" s="19" t="str">
        <f>IF(COUNTA([1]表框架!G28)=0,"",_xlfn.TEXTJOIN(CHAR(10),FALSE,[1]表框架!G28,VLOOKUP([1]表框架!G28,'[1]PIN list'!$B:$E,2)))</f>
        <v>145
I2S1_DI</v>
      </c>
      <c r="H28" s="11" t="str">
        <f>IF(COUNTA([1]表框架!H28)=0,"",_xlfn.TEXTJOIN(CHAR(10),FALSE,[1]表框架!H28,VLOOKUP([1]表框架!H28,'[1]PIN list'!$B:$E,2)))</f>
        <v>150
I2S1_LRCK</v>
      </c>
      <c r="I28" s="19" t="str">
        <f>IF(COUNTA([1]表框架!I28)=0,"",_xlfn.TEXTJOIN(CHAR(10),FALSE,[1]表框架!I28,VLOOKUP([1]表框架!I28,'[1]PIN list'!$B:$E,2)))</f>
        <v>157
I2S2_DI</v>
      </c>
      <c r="J28" s="11" t="str">
        <f>IF(COUNTA([1]表框架!J28)=0,"",_xlfn.TEXTJOIN(CHAR(10),FALSE,[1]表框架!J28,VLOOKUP([1]表框架!J28,'[1]PIN list'!$B:$E,2)))</f>
        <v>162
I2S2_LRCK</v>
      </c>
      <c r="K28" s="19" t="str">
        <f>IF(COUNTA([1]表框架!K28)=0,"",_xlfn.TEXTJOIN(CHAR(10),FALSE,[1]表框架!K28,VLOOKUP([1]表框架!K28,'[1]PIN list'!$B:$E,2)))</f>
        <v>169
I2S0_DO</v>
      </c>
      <c r="L28" s="11" t="str">
        <f>IF(COUNTA([1]表框架!L28)=0,"",_xlfn.TEXTJOIN(CHAR(10),FALSE,[1]表框架!L28,VLOOKUP([1]表框架!L28,'[1]PIN list'!$B:$E,2)))</f>
        <v>174
I2S0_LRCK</v>
      </c>
      <c r="M28" s="19" t="str">
        <f>IF(COUNTA([1]表框架!M28)=0,"",_xlfn.TEXTJOIN(CHAR(10),FALSE,[1]表框架!M28,VLOOKUP([1]表框架!M28,'[1]PIN list'!$B:$E,2)))</f>
        <v>181
SCL6</v>
      </c>
      <c r="N28" s="15" t="str">
        <f>IF(COUNTA([1]表框架!N28)=0,"",_xlfn.TEXTJOIN(CHAR(10),FALSE,[1]表框架!N28,VLOOKUP([1]表框架!N28,'[1]PIN list'!$B:$E,2)))</f>
        <v>186
D_GND</v>
      </c>
      <c r="O28" s="19" t="str">
        <f>IF(COUNTA([1]表框架!O28)=0,"",_xlfn.TEXTJOIN(CHAR(10),FALSE,[1]表框架!O28,VLOOKUP([1]表框架!O28,'[1]PIN list'!$B:$E,2)))</f>
        <v>193
NC</v>
      </c>
      <c r="P28" s="11" t="str">
        <f>IF(COUNTA([1]表框架!P28)=0,"",_xlfn.TEXTJOIN(CHAR(10),FALSE,[1]表框架!P28,VLOOKUP([1]表框架!P28,'[1]PIN list'!$B:$E,2)))</f>
        <v>198
NC</v>
      </c>
      <c r="Q28" s="19" t="str">
        <f>IF(COUNTA([1]表框架!Q28)=0,"",_xlfn.TEXTJOIN(CHAR(10),FALSE,[1]表框架!Q28,VLOOKUP([1]表框架!Q28,'[1]PIN list'!$B:$E,2)))</f>
        <v>205
NC</v>
      </c>
      <c r="R28" s="11" t="str">
        <f>IF(COUNTA([1]表框架!R28)=0,"",_xlfn.TEXTJOIN(CHAR(10),FALSE,[1]表框架!R28,VLOOKUP([1]表框架!R28,'[1]PIN list'!$B:$E,2)))</f>
        <v>210
NC</v>
      </c>
      <c r="S28" s="19" t="str">
        <f>IF(COUNTA([1]表框架!S28)=0,"",_xlfn.TEXTJOIN(CHAR(10),FALSE,[1]表框架!S28,VLOOKUP([1]表框架!S28,'[1]PIN list'!$B:$E,2)))</f>
        <v>217
NC</v>
      </c>
      <c r="T28" s="11" t="str">
        <f>IF(COUNTA([1]表框架!T28)=0,"",_xlfn.TEXTJOIN(CHAR(10),FALSE,[1]表框架!T28,VLOOKUP([1]表框架!T28,'[1]PIN list'!$B:$E,2)))</f>
        <v>222
NC</v>
      </c>
      <c r="U28" s="19" t="str">
        <f>IF(COUNTA([1]表框架!U28)=0,"",_xlfn.TEXTJOIN(CHAR(10),FALSE,[1]表框架!U28,VLOOKUP([1]表框架!U28,'[1]PIN list'!$B:$E,2)))</f>
        <v>229
NC</v>
      </c>
      <c r="V28" s="27" t="str">
        <f>IF(COUNTA([1]表框架!V28)=0,"",_xlfn.TEXTJOIN(CHAR(10),FALSE,[1]表框架!V28,VLOOKUP([1]表框架!V28,'[1]PIN list'!$B:$E,2)))</f>
        <v>234
MSDC1_DATA0</v>
      </c>
      <c r="W28" s="27" t="str">
        <f>IF(COUNTA([1]表框架!W28)=0,"",_xlfn.TEXTJOIN(CHAR(10),FALSE,[1]表框架!W28,VLOOKUP([1]表框架!W28,'[1]PIN list'!$B:$E,2)))</f>
        <v>241
MSDC1_DATA1</v>
      </c>
      <c r="X28" s="27" t="str">
        <f>IF(COUNTA([1]表框架!X28)=0,"",_xlfn.TEXTJOIN(CHAR(10),FALSE,[1]表框架!X28,VLOOKUP([1]表框架!X28,'[1]PIN list'!$B:$E,2)))</f>
        <v>246
MSDC1_CMD</v>
      </c>
      <c r="Y28" s="26" t="str">
        <f>IF(COUNTA([1]表框架!Y28)=0,"",_xlfn.TEXTJOIN(CHAR(10),FALSE,[1]表框架!Y28,VLOOKUP([1]表框架!Y28,'[1]PIN list'!$B:$E,2)))</f>
        <v>252
SIM1_SIO</v>
      </c>
      <c r="Z28" s="7" t="str">
        <f>IF(COUNTA([1]表框架!Z28)=0,"",_xlfn.TEXTJOIN(CHAR(10),FALSE,[1]表框架!Z28,VLOOKUP([1]表框架!Z28,'[1]PIN list'!$B:$E,2)))</f>
        <v>257
D_GND</v>
      </c>
      <c r="AA28" s="7" t="str">
        <f>IF(COUNTA([1]表框架!AA28)=0,"",_xlfn.TEXTJOIN(CHAR(10),FALSE,[1]表框架!AA28,VLOOKUP([1]表框架!AA28,'[1]PIN list'!$B:$E,2)))</f>
        <v>259
D_GND</v>
      </c>
      <c r="AB28" s="6" t="str">
        <f>IF(COUNTA([1]表框架!AB28)=0,"",_xlfn.TEXTJOIN(CHAR(10),FALSE,[1]表框架!AB28,VLOOKUP([1]表框架!AB28,'[1]PIN list'!$B:$E,2)))</f>
        <v/>
      </c>
      <c r="AC28" s="42" t="str">
        <f>IF(COUNTA([1]表框架!AC28)=0,"",_xlfn.TEXTJOIN(CHAR(10),FALSE,[1]表框架!AC28,VLOOKUP([1]表框架!AC28,'[1]PIN list'!$B:$E,2)))</f>
        <v>267
DSI1_CKN</v>
      </c>
      <c r="AD28" s="44" t="str">
        <f>IF(COUNTA([1]表框架!AD28)=0,"",_xlfn.TEXTJOIN(CHAR(10),FALSE,[1]表框架!AD28,VLOOKUP([1]表框架!AD28,'[1]PIN list'!$B:$E,2)))</f>
        <v>266
DSI1_D0N</v>
      </c>
    </row>
    <row r="29" s="1" customFormat="1" ht="56.65" customHeight="1" spans="1:30">
      <c r="A29" s="1">
        <v>28</v>
      </c>
      <c r="B29" s="5" t="str">
        <f>IF(COUNTA([1]表框架!B29)=0,"",_xlfn.TEXTJOIN(CHAR(10),FALSE,[1]表框架!B29,VLOOKUP([1]表框架!B29,'[1]PIN list'!$B:$E,2)))</f>
        <v>132
D_GND</v>
      </c>
      <c r="C29" s="6" t="str">
        <f>IF(COUNTA([1]表框架!C29)=0,"",_xlfn.TEXTJOIN(CHAR(10),FALSE,[1]表框架!C29,VLOOKUP([1]表框架!C29,'[1]PIN list'!$B:$E,2)))</f>
        <v/>
      </c>
      <c r="D29" s="7" t="str">
        <f>IF(COUNTA([1]表框架!D29)=0,"",_xlfn.TEXTJOIN(CHAR(10),FALSE,[1]表框架!D29,VLOOKUP([1]表框架!D29,'[1]PIN list'!$B:$E,2)))</f>
        <v>135
D_GND</v>
      </c>
      <c r="E29" s="7" t="str">
        <f>IF(COUNTA([1]表框架!E29)=0,"",_xlfn.TEXTJOIN(CHAR(10),FALSE,[1]表框架!E29,VLOOKUP([1]表框架!E29,'[1]PIN list'!$B:$E,2)))</f>
        <v>137
D_GND</v>
      </c>
      <c r="F29" s="7" t="str">
        <f>IF(COUNTA([1]表框架!F29)=0,"",_xlfn.TEXTJOIN(CHAR(10),FALSE,[1]表框架!F29,VLOOKUP([1]表框架!F29,'[1]PIN list'!$B:$E,2)))</f>
        <v>140
D_GND</v>
      </c>
      <c r="G29" s="15" t="str">
        <f>IF(COUNTA([1]表框架!G29)=0,"",_xlfn.TEXTJOIN(CHAR(10),FALSE,[1]表框架!G29,VLOOKUP([1]表框架!G29,'[1]PIN list'!$B:$E,2)))</f>
        <v>146
D_GND</v>
      </c>
      <c r="H29" s="15" t="str">
        <f>IF(COUNTA([1]表框架!H29)=0,"",_xlfn.TEXTJOIN(CHAR(10),FALSE,[1]表框架!H29,VLOOKUP([1]表框架!H29,'[1]PIN list'!$B:$E,2)))</f>
        <v>149
D_GND</v>
      </c>
      <c r="I29" s="15" t="str">
        <f>IF(COUNTA([1]表框架!I29)=0,"",_xlfn.TEXTJOIN(CHAR(10),FALSE,[1]表框架!I29,VLOOKUP([1]表框架!I29,'[1]PIN list'!$B:$E,2)))</f>
        <v>158
D_GND</v>
      </c>
      <c r="J29" s="15" t="str">
        <f>IF(COUNTA([1]表框架!J29)=0,"",_xlfn.TEXTJOIN(CHAR(10),FALSE,[1]表框架!J29,VLOOKUP([1]表框架!J29,'[1]PIN list'!$B:$E,2)))</f>
        <v>161
D_GND</v>
      </c>
      <c r="K29" s="15" t="str">
        <f>IF(COUNTA([1]表框架!K29)=0,"",_xlfn.TEXTJOIN(CHAR(10),FALSE,[1]表框架!K29,VLOOKUP([1]表框架!K29,'[1]PIN list'!$B:$E,2)))</f>
        <v>170
D_GND</v>
      </c>
      <c r="L29" s="15" t="str">
        <f>IF(COUNTA([1]表框架!L29)=0,"",_xlfn.TEXTJOIN(CHAR(10),FALSE,[1]表框架!L29,VLOOKUP([1]表框架!L29,'[1]PIN list'!$B:$E,2)))</f>
        <v>173
D_GND</v>
      </c>
      <c r="M29" s="15" t="str">
        <f>IF(COUNTA([1]表框架!M29)=0,"",_xlfn.TEXTJOIN(CHAR(10),FALSE,[1]表框架!M29,VLOOKUP([1]表框架!M29,'[1]PIN list'!$B:$E,2)))</f>
        <v>182
D_GND</v>
      </c>
      <c r="N29" s="15" t="str">
        <f>IF(COUNTA([1]表框架!N29)=0,"",_xlfn.TEXTJOIN(CHAR(10),FALSE,[1]表框架!N29,VLOOKUP([1]表框架!N29,'[1]PIN list'!$B:$E,2)))</f>
        <v>185
D_GND</v>
      </c>
      <c r="O29" s="15" t="str">
        <f>IF(COUNTA([1]表框架!O29)=0,"",_xlfn.TEXTJOIN(CHAR(10),FALSE,[1]表框架!O29,VLOOKUP([1]表框架!O29,'[1]PIN list'!$B:$E,2)))</f>
        <v>194
D_GND</v>
      </c>
      <c r="P29" s="19" t="str">
        <f>IF(COUNTA([1]表框架!P29)=0,"",_xlfn.TEXTJOIN(CHAR(10),FALSE,[1]表框架!P29,VLOOKUP([1]表框架!P29,'[1]PIN list'!$B:$E,2)))</f>
        <v>197
NC</v>
      </c>
      <c r="Q29" s="11" t="str">
        <f>IF(COUNTA([1]表框架!Q29)=0,"",_xlfn.TEXTJOIN(CHAR(10),FALSE,[1]表框架!Q29,VLOOKUP([1]表框架!Q29,'[1]PIN list'!$B:$E,2)))</f>
        <v>206
NC</v>
      </c>
      <c r="R29" s="19" t="str">
        <f>IF(COUNTA([1]表框架!R29)=0,"",_xlfn.TEXTJOIN(CHAR(10),FALSE,[1]表框架!R29,VLOOKUP([1]表框架!R29,'[1]PIN list'!$B:$E,2)))</f>
        <v>209
NC</v>
      </c>
      <c r="S29" s="11" t="str">
        <f>IF(COUNTA([1]表框架!S29)=0,"",_xlfn.TEXTJOIN(CHAR(10),FALSE,[1]表框架!S29,VLOOKUP([1]表框架!S29,'[1]PIN list'!$B:$E,2)))</f>
        <v>218
NC</v>
      </c>
      <c r="T29" s="15" t="str">
        <f>IF(COUNTA([1]表框架!T29)=0,"",_xlfn.TEXTJOIN(CHAR(10),FALSE,[1]表框架!T29,VLOOKUP([1]表框架!T29,'[1]PIN list'!$B:$E,2)))</f>
        <v>221
D_GND</v>
      </c>
      <c r="U29" s="15" t="str">
        <f>IF(COUNTA([1]表框架!U29)=0,"",_xlfn.TEXTJOIN(CHAR(10),FALSE,[1]表框架!U29,VLOOKUP([1]表框架!U29,'[1]PIN list'!$B:$E,2)))</f>
        <v>230
D_GND</v>
      </c>
      <c r="V29" s="19" t="str">
        <f>IF(COUNTA([1]表框架!V29)=0,"",_xlfn.TEXTJOIN(CHAR(10),FALSE,[1]表框架!V29,VLOOKUP([1]表框架!V29,'[1]PIN list'!$B:$E,2)))</f>
        <v>233
NC</v>
      </c>
      <c r="W29" s="18" t="str">
        <f>IF(COUNTA([1]表框架!W29)=0,"",_xlfn.TEXTJOIN(CHAR(10),FALSE,[1]表框架!W29,VLOOKUP([1]表框架!W29,'[1]PIN list'!$B:$E,2)))</f>
        <v>242
DP_AUXP</v>
      </c>
      <c r="X29" s="18" t="str">
        <f>IF(COUNTA([1]表框架!X29)=0,"",_xlfn.TEXTJOIN(CHAR(10),FALSE,[1]表框架!X29,VLOOKUP([1]表框架!X29,'[1]PIN list'!$B:$E,2)))</f>
        <v>245
USB_DP</v>
      </c>
      <c r="Y29" s="18" t="str">
        <f>IF(COUNTA([1]表框架!Y29)=0,"",_xlfn.TEXTJOIN(CHAR(10),FALSE,[1]表框架!Y29,VLOOKUP([1]表框架!Y29,'[1]PIN list'!$B:$E,2)))</f>
        <v>253
DP_LN1_TXP_P2</v>
      </c>
      <c r="Z29" s="18" t="str">
        <f>IF(COUNTA([1]表框架!Z29)=0,"",_xlfn.TEXTJOIN(CHAR(10),FALSE,[1]表框架!Z29,VLOOKUP([1]表框架!Z29,'[1]PIN list'!$B:$E,2)))</f>
        <v>256
DP_LN0_TXP_P2</v>
      </c>
      <c r="AA29" s="11" t="str">
        <f>IF(COUNTA([1]表框架!AA29)=0,"",_xlfn.TEXTJOIN(CHAR(10),FALSE,[1]表框架!AA29,VLOOKUP([1]表框架!AA29,'[1]PIN list'!$B:$E,2)))</f>
        <v>260
SSUSB_TXP_P1</v>
      </c>
      <c r="AB29" s="19" t="str">
        <f>IF(COUNTA([1]表框架!AB29)=0,"",_xlfn.TEXTJOIN(CHAR(10),FALSE,[1]表框架!AB29,VLOOKUP([1]表框架!AB29,'[1]PIN list'!$B:$E,2)))</f>
        <v>263
SSUSB_RXP_P1</v>
      </c>
      <c r="AC29" s="6" t="str">
        <f>IF(COUNTA([1]表框架!AC29)=0,"",_xlfn.TEXTJOIN(CHAR(10),FALSE,[1]表框架!AC29,VLOOKUP([1]表框架!AC29,'[1]PIN list'!$B:$E,2)))</f>
        <v/>
      </c>
      <c r="AD29" s="40" t="str">
        <f>IF(COUNTA([1]表框架!AD29)=0,"",_xlfn.TEXTJOIN(CHAR(10),FALSE,[1]表框架!AD29,VLOOKUP([1]表框架!AD29,'[1]PIN list'!$B:$E,2)))</f>
        <v>265
D_GND</v>
      </c>
    </row>
    <row r="30" s="1" customFormat="1" ht="56.65" customHeight="1" spans="1:30">
      <c r="A30" s="1">
        <v>29</v>
      </c>
      <c r="B30" s="20" t="str">
        <f>IF(COUNTA([1]表框架!B30)=0,"",_xlfn.TEXTJOIN(CHAR(10),FALSE,[1]表框架!B30,VLOOKUP([1]表框架!B30,'[1]PIN list'!$B:$E,2)))</f>
        <v/>
      </c>
      <c r="C30" s="21" t="str">
        <f>IF(COUNTA([1]表框架!C30)=0,"",_xlfn.TEXTJOIN(CHAR(10),FALSE,[1]表框架!C30,VLOOKUP([1]表框架!C30,'[1]PIN list'!$B:$E,2)))</f>
        <v>133
D_GND</v>
      </c>
      <c r="D30" s="22" t="str">
        <f>IF(COUNTA([1]表框架!D30)=0,"",_xlfn.TEXTJOIN(CHAR(10),FALSE,[1]表框架!D30,VLOOKUP([1]表框架!D30,'[1]PIN list'!$B:$E,2)))</f>
        <v>134
ANT3</v>
      </c>
      <c r="E30" s="21" t="str">
        <f>IF(COUNTA([1]表框架!E30)=0,"",_xlfn.TEXTJOIN(CHAR(10),FALSE,[1]表框架!E30,VLOOKUP([1]表框架!E30,'[1]PIN list'!$B:$E,2)))</f>
        <v>138
D_GND</v>
      </c>
      <c r="F30" s="22" t="str">
        <f>IF(COUNTA([1]表框架!F30)=0,"",_xlfn.TEXTJOIN(CHAR(10),FALSE,[1]表框架!F30,VLOOKUP([1]表框架!F30,'[1]PIN list'!$B:$E,2)))</f>
        <v>139
ANT1</v>
      </c>
      <c r="G30" s="23" t="str">
        <f>IF(COUNTA([1]表框架!G30)=0,"",_xlfn.TEXTJOIN(CHAR(10),FALSE,[1]表框架!G30,VLOOKUP([1]表框架!G30,'[1]PIN list'!$B:$E,2)))</f>
        <v>147
D_GND</v>
      </c>
      <c r="H30" s="22" t="str">
        <f>IF(COUNTA([1]表框架!H30)=0,"",_xlfn.TEXTJOIN(CHAR(10),FALSE,[1]表框架!H30,VLOOKUP([1]表框架!H30,'[1]PIN list'!$B:$E,2)))</f>
        <v>148
ECALL_BACKUP_ANT5</v>
      </c>
      <c r="I30" s="23" t="str">
        <f>IF(COUNTA([1]表框架!I30)=0,"",_xlfn.TEXTJOIN(CHAR(10),FALSE,[1]表框架!I30,VLOOKUP([1]表框架!I30,'[1]PIN list'!$B:$E,2)))</f>
        <v>159
D_GND</v>
      </c>
      <c r="J30" s="22" t="str">
        <f>IF(COUNTA([1]表框架!J30)=0,"",_xlfn.TEXTJOIN(CHAR(10),FALSE,[1]表框架!J30,VLOOKUP([1]表框架!J30,'[1]PIN list'!$B:$E,2)))</f>
        <v>160
ANT0</v>
      </c>
      <c r="K30" s="23" t="str">
        <f>IF(COUNTA([1]表框架!K30)=0,"",_xlfn.TEXTJOIN(CHAR(10),FALSE,[1]表框架!K30,VLOOKUP([1]表框架!K30,'[1]PIN list'!$B:$E,2)))</f>
        <v>171
D_GND</v>
      </c>
      <c r="L30" s="22" t="str">
        <f>IF(COUNTA([1]表框架!L30)=0,"",_xlfn.TEXTJOIN(CHAR(10),FALSE,[1]表框架!L30,VLOOKUP([1]表框架!L30,'[1]PIN list'!$B:$E,2)))</f>
        <v>172
NC</v>
      </c>
      <c r="M30" s="23" t="str">
        <f>IF(COUNTA([1]表框架!M30)=0,"",_xlfn.TEXTJOIN(CHAR(10),FALSE,[1]表框架!M30,VLOOKUP([1]表框架!M30,'[1]PIN list'!$B:$E,2)))</f>
        <v>183
D_GND</v>
      </c>
      <c r="N30" s="22" t="str">
        <f>IF(COUNTA([1]表框架!N30)=0,"",_xlfn.TEXTJOIN(CHAR(10),FALSE,[1]表框架!N30,VLOOKUP([1]表框架!N30,'[1]PIN list'!$B:$E,2)))</f>
        <v>184
ANT2</v>
      </c>
      <c r="O30" s="23" t="str">
        <f>IF(COUNTA([1]表框架!O30)=0,"",_xlfn.TEXTJOIN(CHAR(10),FALSE,[1]表框架!O30,VLOOKUP([1]表框架!O30,'[1]PIN list'!$B:$E,2)))</f>
        <v>195
D_GND</v>
      </c>
      <c r="P30" s="22" t="str">
        <f>IF(COUNTA([1]表框架!P30)=0,"",_xlfn.TEXTJOIN(CHAR(10),FALSE,[1]表框架!P30,VLOOKUP([1]表框架!P30,'[1]PIN list'!$B:$E,2)))</f>
        <v>196
GYRO_SENTRY_INT</v>
      </c>
      <c r="Q30" s="32" t="str">
        <f>IF(COUNTA([1]表框架!Q30)=0,"",_xlfn.TEXTJOIN(CHAR(10),FALSE,[1]表框架!Q30,VLOOKUP([1]表框架!Q30,'[1]PIN list'!$B:$E,2)))</f>
        <v>207
NC</v>
      </c>
      <c r="R30" s="22" t="str">
        <f>IF(COUNTA([1]表框架!R30)=0,"",_xlfn.TEXTJOIN(CHAR(10),FALSE,[1]表框架!R30,VLOOKUP([1]表框架!R30,'[1]PIN list'!$B:$E,2)))</f>
        <v>208
NC</v>
      </c>
      <c r="S30" s="32" t="str">
        <f>IF(COUNTA([1]表框架!S30)=0,"",_xlfn.TEXTJOIN(CHAR(10),FALSE,[1]表框架!S30,VLOOKUP([1]表框架!S30,'[1]PIN list'!$B:$E,2)))</f>
        <v>219
GPIO0_FMI2S_LRCK</v>
      </c>
      <c r="T30" s="23" t="str">
        <f>IF(COUNTA([1]表框架!T30)=0,"",_xlfn.TEXTJOIN(CHAR(10),FALSE,[1]表框架!T30,VLOOKUP([1]表框架!T30,'[1]PIN list'!$B:$E,2)))</f>
        <v>220
D_GND</v>
      </c>
      <c r="U30" s="23" t="str">
        <f>IF(COUNTA([1]表框架!U30)=0,"",_xlfn.TEXTJOIN(CHAR(10),FALSE,[1]表框架!U30,VLOOKUP([1]表框架!U30,'[1]PIN list'!$B:$E,2)))</f>
        <v>231
D_GND</v>
      </c>
      <c r="V30" s="22" t="str">
        <f>IF(COUNTA([1]表框架!V30)=0,"",_xlfn.TEXTJOIN(CHAR(10),FALSE,[1]表框架!V30,VLOOKUP([1]表框架!V30,'[1]PIN list'!$B:$E,2)))</f>
        <v>232
NC</v>
      </c>
      <c r="W30" s="33" t="str">
        <f>IF(COUNTA([1]表框架!W30)=0,"",_xlfn.TEXTJOIN(CHAR(10),FALSE,[1]表框架!W30,VLOOKUP([1]表框架!W30,'[1]PIN list'!$B:$E,2)))</f>
        <v>243
DP_AUXN</v>
      </c>
      <c r="X30" s="33" t="str">
        <f>IF(COUNTA([1]表框架!X30)=0,"",_xlfn.TEXTJOIN(CHAR(10),FALSE,[1]表框架!X30,VLOOKUP([1]表框架!X30,'[1]PIN list'!$B:$E,2)))</f>
        <v>244
USB_DM</v>
      </c>
      <c r="Y30" s="33" t="str">
        <f>IF(COUNTA([1]表框架!Y30)=0,"",_xlfn.TEXTJOIN(CHAR(10),FALSE,[1]表框架!Y30,VLOOKUP([1]表框架!Y30,'[1]PIN list'!$B:$E,2)))</f>
        <v>254
DP_LN1_TXN_P2</v>
      </c>
      <c r="Z30" s="33" t="str">
        <f>IF(COUNTA([1]表框架!Z30)=0,"",_xlfn.TEXTJOIN(CHAR(10),FALSE,[1]表框架!Z30,VLOOKUP([1]表框架!Z30,'[1]PIN list'!$B:$E,2)))</f>
        <v>255
DP_LN0_TXN_P2</v>
      </c>
      <c r="AA30" s="32" t="str">
        <f>IF(COUNTA([1]表框架!AA30)=0,"",_xlfn.TEXTJOIN(CHAR(10),FALSE,[1]表框架!AA30,VLOOKUP([1]表框架!AA30,'[1]PIN list'!$B:$E,2)))</f>
        <v>261
SSUSB_TXN_P1</v>
      </c>
      <c r="AB30" s="22" t="str">
        <f>IF(COUNTA([1]表框架!AB30)=0,"",_xlfn.TEXTJOIN(CHAR(10),FALSE,[1]表框架!AB30,VLOOKUP([1]表框架!AB30,'[1]PIN list'!$B:$E,2)))</f>
        <v>262
SSUSB_RXN_P1</v>
      </c>
      <c r="AC30" s="21" t="str">
        <f>IF(COUNTA([1]表框架!AC30)=0,"",_xlfn.TEXTJOIN(CHAR(10),FALSE,[1]表框架!AC30,VLOOKUP([1]表框架!AC30,'[1]PIN list'!$B:$E,2)))</f>
        <v>264
D_GND</v>
      </c>
      <c r="AD30" s="45" t="str">
        <f>IF(COUNTA([1]表框架!AD30)=0,"",_xlfn.TEXTJOIN(CHAR(10),FALSE,[1]表框架!AD30,VLOOKUP([1]表框架!AD30,'[1]PIN list'!$B:$E,2)))</f>
        <v/>
      </c>
    </row>
    <row r="31" s="1" customFormat="1" ht="56.65" customHeight="1" spans="2:30">
      <c r="B31" s="24">
        <v>1</v>
      </c>
      <c r="C31" s="24">
        <v>2</v>
      </c>
      <c r="D31" s="24">
        <v>3</v>
      </c>
      <c r="E31" s="1">
        <v>4</v>
      </c>
      <c r="F31" s="24">
        <v>5</v>
      </c>
      <c r="G31" s="24">
        <v>6</v>
      </c>
      <c r="H31" s="24">
        <v>7</v>
      </c>
      <c r="I31" s="24">
        <v>8</v>
      </c>
      <c r="J31" s="24">
        <v>9</v>
      </c>
      <c r="K31" s="24">
        <v>10</v>
      </c>
      <c r="L31" s="24">
        <v>11</v>
      </c>
      <c r="M31" s="24">
        <v>12</v>
      </c>
      <c r="N31" s="24">
        <v>13</v>
      </c>
      <c r="O31" s="24">
        <v>14</v>
      </c>
      <c r="P31" s="24">
        <v>15</v>
      </c>
      <c r="Q31" s="24">
        <v>16</v>
      </c>
      <c r="R31" s="24">
        <v>17</v>
      </c>
      <c r="S31" s="24">
        <v>18</v>
      </c>
      <c r="T31" s="24">
        <v>19</v>
      </c>
      <c r="U31" s="24">
        <v>20</v>
      </c>
      <c r="V31" s="24">
        <v>21</v>
      </c>
      <c r="W31" s="24">
        <v>22</v>
      </c>
      <c r="X31" s="24">
        <v>23</v>
      </c>
      <c r="Y31" s="24">
        <v>24</v>
      </c>
      <c r="Z31" s="24">
        <v>25</v>
      </c>
      <c r="AA31" s="24">
        <v>26</v>
      </c>
      <c r="AB31" s="24">
        <v>27</v>
      </c>
      <c r="AC31" s="24">
        <v>28</v>
      </c>
      <c r="AD31" s="24">
        <v>29</v>
      </c>
    </row>
    <row r="32" s="1" customFormat="1" ht="56.65" customHeight="1" spans="2:30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="1" customFormat="1" ht="56.65" customHeight="1" spans="2:30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46"/>
      <c r="AD33" s="24"/>
    </row>
    <row r="34" s="1" customFormat="1" ht="56.65" customHeight="1" spans="2:30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="1" customFormat="1" ht="56.65" customHeight="1"/>
    <row r="36" s="1" customFormat="1" ht="56.65" customHeight="1"/>
    <row r="37" s="1" customFormat="1" ht="56.65" customHeight="1"/>
    <row r="38" s="1" customFormat="1" ht="56.65" customHeight="1"/>
  </sheetData>
  <conditionalFormatting sqref="B2:AD30">
    <cfRule type="expression" dxfId="0" priority="8">
      <formula>VLOOKUP([1]表框架!#REF!,'[1]PIN list'!#REF!,4)="D_GND"</formula>
    </cfRule>
    <cfRule type="expression" dxfId="1" priority="7">
      <formula>VLOOKUP([1]表框架!#REF!,'[1]PIN list'!#REF!,4)="CSI"</formula>
    </cfRule>
    <cfRule type="expression" dxfId="2" priority="6">
      <formula>VLOOKUP([1]表框架!#REF!,'[1]PIN list'!#REF!,4)="DSI"</formula>
    </cfRule>
    <cfRule type="expression" dxfId="3" priority="5">
      <formula>VLOOKUP([1]表框架!#REF!,'[1]PIN list'!#REF!,4)="VBAT"</formula>
    </cfRule>
    <cfRule type="expression" dxfId="4" priority="4">
      <formula>VLOOKUP([1]表框架!#REF!,'[1]PIN list'!#REF!,4)="DP"</formula>
    </cfRule>
    <cfRule type="expression" dxfId="5" priority="3">
      <formula>VLOOKUP([1]表框架!#REF!,'[1]PIN list'!#REF!,4)="SIM"</formula>
    </cfRule>
    <cfRule type="expression" dxfId="6" priority="2">
      <formula>VLOOKUP([1]表框架!#REF!,'[1]PIN list'!#REF!,4)="SD"</formula>
    </cfRule>
    <cfRule type="expression" dxfId="7" priority="1">
      <formula>VLOOKUP([1]表框架!#REF!,'[1]PIN list'!#REF!,4)="PCIE"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HQH</dc:creator>
  <cp:lastModifiedBy>黄清华</cp:lastModifiedBy>
  <dcterms:created xsi:type="dcterms:W3CDTF">2023-05-12T11:15:00Z</dcterms:created>
  <dcterms:modified xsi:type="dcterms:W3CDTF">2025-04-28T06:15:47Z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